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erieinsurance.sharepoint.com/teams/EFL-VM-JoyManish/Shared Documents/General/SOW 2026/VM Metrics/"/>
    </mc:Choice>
  </mc:AlternateContent>
  <xr:revisionPtr revIDLastSave="2" documentId="8_{310ED619-A0B7-46E3-A613-490C94FC3B16}" xr6:coauthVersionLast="47" xr6:coauthVersionMax="47" xr10:uidLastSave="{67EC6093-D773-41BC-A354-0ED7E4B8B397}"/>
  <bookViews>
    <workbookView xWindow="-108" yWindow="-108" windowWidth="23112" windowHeight="9456" tabRatio="500" firstSheet="6" activeTab="6" xr2:uid="{00000000-000D-0000-FFFF-FFFF00000000}"/>
  </bookViews>
  <sheets>
    <sheet name="📋 Instructions" sheetId="1" r:id="rId1"/>
    <sheet name="📊 Scorecard" sheetId="5" r:id="rId2"/>
    <sheet name="💵 Financial" sheetId="2" r:id="rId3"/>
    <sheet name="🐛 Quality" sheetId="4" r:id="rId4"/>
    <sheet name="🏃 Sprints" sheetId="3" r:id="rId5"/>
    <sheet name="📐 Formulas" sheetId="6" r:id="rId6"/>
    <sheet name="Team Sprints Input" sheetId="7" r:id="rId7"/>
    <sheet name="VAM Team Sprint-CostperSprint" sheetId="16" r:id="rId8"/>
    <sheet name="Team Median Input" sheetId="12" r:id="rId9"/>
    <sheet name="FTPR" sheetId="15" r:id="rId10"/>
    <sheet name="Backlog" sheetId="9" state="hidden" r:id="rId11"/>
    <sheet name="EAC Notes" sheetId="8" state="hidden" r:id="rId12"/>
    <sheet name="Disussion Points" sheetId="10" state="hidden" r:id="rId13"/>
    <sheet name="Monthly Burn Variance Reasons" sheetId="11" state="hidden" r:id="rId14"/>
    <sheet name="Risks_Decisions_Improvements" sheetId="13" r:id="rId15"/>
    <sheet name="Prod Leakage Details" sheetId="17" state="hidden" r:id="rId16"/>
  </sheets>
  <definedNames>
    <definedName name="_xlnm._FilterDatabase" localSheetId="9" hidden="1">FTPR!$A$1:$J$34</definedName>
    <definedName name="_xlnm._FilterDatabase" localSheetId="14" hidden="1">Risks_Decisions_Improvements!$A$1:$G$1</definedName>
    <definedName name="_xlnm._FilterDatabase" localSheetId="8" hidden="1">'Team Median Input'!$A$1:$M$25</definedName>
    <definedName name="_xlnm._FilterDatabase" localSheetId="6" hidden="1">'Team Sprints Input'!$A$2:$P$50</definedName>
    <definedName name="_xlnm._FilterDatabase" localSheetId="7" hidden="1">'VAM Team Sprint-CostperSprint'!$A$1:$I$25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3" i="3" l="1"/>
  <c r="M24" i="2"/>
  <c r="M15" i="2"/>
  <c r="M16" i="2"/>
  <c r="M17" i="2" s="1"/>
  <c r="C48" i="2"/>
  <c r="L24" i="2"/>
  <c r="L15" i="2"/>
  <c r="L16" i="2"/>
  <c r="L17" i="2" s="1"/>
  <c r="C23" i="4"/>
  <c r="K10" i="4"/>
  <c r="H10" i="4"/>
  <c r="B23" i="4" s="1"/>
  <c r="D23" i="4" s="1"/>
  <c r="C58" i="4"/>
  <c r="E58" i="4" s="1"/>
  <c r="F58" i="4" s="1"/>
  <c r="D58" i="4"/>
  <c r="H21" i="3"/>
  <c r="C80" i="3"/>
  <c r="C61" i="3"/>
  <c r="C41" i="3"/>
  <c r="O16" i="3"/>
  <c r="M22" i="2" s="1"/>
  <c r="K16" i="3"/>
  <c r="C16" i="3"/>
  <c r="D16" i="3"/>
  <c r="E16" i="3"/>
  <c r="F16" i="3"/>
  <c r="G16" i="3"/>
  <c r="H16" i="3"/>
  <c r="C39" i="4" s="1"/>
  <c r="I31" i="15"/>
  <c r="I32" i="15"/>
  <c r="I33" i="15"/>
  <c r="I34" i="15"/>
  <c r="I46" i="16"/>
  <c r="N16" i="3" s="1"/>
  <c r="M21" i="2" s="1"/>
  <c r="I47" i="16"/>
  <c r="I48" i="16"/>
  <c r="I49" i="16"/>
  <c r="L48" i="7"/>
  <c r="M48" i="7"/>
  <c r="L49" i="7"/>
  <c r="M49" i="7"/>
  <c r="L50" i="7"/>
  <c r="M50" i="7"/>
  <c r="O50" i="7" s="1"/>
  <c r="L47" i="7"/>
  <c r="M47" i="7"/>
  <c r="O47" i="7" s="1"/>
  <c r="O48" i="7"/>
  <c r="O49" i="7"/>
  <c r="C57" i="4"/>
  <c r="D57" i="4"/>
  <c r="C38" i="4"/>
  <c r="N15" i="3"/>
  <c r="L21" i="2" s="1"/>
  <c r="L25" i="2" s="1"/>
  <c r="L28" i="2" s="1"/>
  <c r="O15" i="3"/>
  <c r="L22" i="2" s="1"/>
  <c r="K15" i="3"/>
  <c r="C15" i="3"/>
  <c r="D15" i="3"/>
  <c r="E15" i="3"/>
  <c r="F15" i="3"/>
  <c r="G15" i="3"/>
  <c r="H15" i="3"/>
  <c r="C79" i="3"/>
  <c r="C60" i="3"/>
  <c r="C40" i="3"/>
  <c r="G20" i="5" s="1"/>
  <c r="B39" i="5" s="1"/>
  <c r="E23" i="4" l="1"/>
  <c r="G25" i="5" s="1"/>
  <c r="D40" i="5" s="1"/>
  <c r="G24" i="5"/>
  <c r="B40" i="5" s="1"/>
  <c r="M25" i="2"/>
  <c r="M28" i="2" s="1"/>
  <c r="M23" i="2"/>
  <c r="M26" i="2" s="1"/>
  <c r="E57" i="4"/>
  <c r="L23" i="2"/>
  <c r="L26" i="2" s="1"/>
  <c r="B48" i="2" s="1"/>
  <c r="G12" i="5" l="1"/>
  <c r="B37" i="5" s="1"/>
  <c r="D48" i="2"/>
  <c r="E48" i="2"/>
  <c r="G13" i="5" s="1"/>
  <c r="D37" i="5" s="1"/>
  <c r="F57" i="4"/>
  <c r="G30" i="5"/>
  <c r="N14" i="3"/>
  <c r="K21" i="2" s="1"/>
  <c r="O14" i="3"/>
  <c r="K22" i="2" s="1"/>
  <c r="K24" i="2"/>
  <c r="K15" i="2"/>
  <c r="I27" i="15"/>
  <c r="I28" i="15"/>
  <c r="I29" i="15"/>
  <c r="I30" i="15"/>
  <c r="I43" i="16"/>
  <c r="I44" i="16"/>
  <c r="I45" i="16"/>
  <c r="I42" i="16"/>
  <c r="L43" i="7"/>
  <c r="M43" i="7"/>
  <c r="O43" i="7" s="1"/>
  <c r="L44" i="7"/>
  <c r="M44" i="7"/>
  <c r="O44" i="7"/>
  <c r="L45" i="7"/>
  <c r="M45" i="7"/>
  <c r="O45" i="7"/>
  <c r="L46" i="7"/>
  <c r="M46" i="7"/>
  <c r="O46" i="7"/>
  <c r="G31" i="5" l="1"/>
  <c r="D42" i="5" s="1"/>
  <c r="B42" i="5"/>
  <c r="K16" i="2"/>
  <c r="K17" i="2" s="1"/>
  <c r="K23" i="2"/>
  <c r="K26" i="2" s="1"/>
  <c r="K25" i="2"/>
  <c r="K28" i="2" s="1"/>
  <c r="C47" i="2" l="1"/>
  <c r="J24" i="2"/>
  <c r="J15" i="2"/>
  <c r="J16" i="2" s="1"/>
  <c r="J17" i="2" s="1"/>
  <c r="H9" i="4"/>
  <c r="B22" i="4" s="1"/>
  <c r="K9" i="4"/>
  <c r="L9" i="4" s="1"/>
  <c r="C56" i="4"/>
  <c r="D56" i="4"/>
  <c r="H8" i="4"/>
  <c r="C78" i="3"/>
  <c r="C59" i="3"/>
  <c r="C39" i="3"/>
  <c r="K14" i="3"/>
  <c r="C14" i="3"/>
  <c r="D14" i="3"/>
  <c r="E14" i="3"/>
  <c r="F14" i="3"/>
  <c r="G14" i="3"/>
  <c r="H14" i="3"/>
  <c r="C37" i="4" s="1"/>
  <c r="I23" i="15"/>
  <c r="I24" i="15"/>
  <c r="I25" i="15"/>
  <c r="I26" i="15"/>
  <c r="I38" i="16"/>
  <c r="I39" i="16"/>
  <c r="I40" i="16"/>
  <c r="I41" i="16"/>
  <c r="M40" i="7"/>
  <c r="O40" i="7" s="1"/>
  <c r="M41" i="7"/>
  <c r="O41" i="7" s="1"/>
  <c r="M42" i="7"/>
  <c r="O42" i="7" s="1"/>
  <c r="L39" i="7"/>
  <c r="M39" i="7"/>
  <c r="O39" i="7" s="1"/>
  <c r="L40" i="7"/>
  <c r="L41" i="7"/>
  <c r="L42" i="7"/>
  <c r="C22" i="4" l="1"/>
  <c r="E56" i="4"/>
  <c r="F56" i="4" s="1"/>
  <c r="B21" i="4"/>
  <c r="C46" i="2"/>
  <c r="I24" i="2"/>
  <c r="E8" i="2"/>
  <c r="E6" i="5" s="1"/>
  <c r="K8" i="4"/>
  <c r="C55" i="4"/>
  <c r="D55" i="4"/>
  <c r="C77" i="3"/>
  <c r="C58" i="3"/>
  <c r="C38" i="3"/>
  <c r="F20" i="5" s="1"/>
  <c r="O13" i="3"/>
  <c r="J22" i="2" s="1"/>
  <c r="K13" i="3"/>
  <c r="D13" i="3"/>
  <c r="E13" i="3"/>
  <c r="F13" i="3"/>
  <c r="G13" i="3"/>
  <c r="H13" i="3"/>
  <c r="C36" i="4" s="1"/>
  <c r="C13" i="3"/>
  <c r="I19" i="15"/>
  <c r="I20" i="15"/>
  <c r="I21" i="15"/>
  <c r="I22" i="15"/>
  <c r="I34" i="16"/>
  <c r="I35" i="16"/>
  <c r="I36" i="16"/>
  <c r="I37" i="16"/>
  <c r="L35" i="7"/>
  <c r="M35" i="7"/>
  <c r="O35" i="7"/>
  <c r="L36" i="7"/>
  <c r="M36" i="7"/>
  <c r="O36" i="7" s="1"/>
  <c r="L37" i="7"/>
  <c r="M37" i="7"/>
  <c r="O37" i="7" s="1"/>
  <c r="L38" i="7"/>
  <c r="M38" i="7"/>
  <c r="O38" i="7" s="1"/>
  <c r="L8" i="4" l="1"/>
  <c r="C21" i="4"/>
  <c r="E55" i="4"/>
  <c r="N13" i="3"/>
  <c r="J21" i="2" s="1"/>
  <c r="H24" i="2"/>
  <c r="J23" i="2" l="1"/>
  <c r="J26" i="2" s="1"/>
  <c r="B47" i="2" s="1"/>
  <c r="F12" i="5" s="1"/>
  <c r="J25" i="2"/>
  <c r="J28" i="2" s="1"/>
  <c r="F30" i="5"/>
  <c r="F55" i="4"/>
  <c r="I15" i="2"/>
  <c r="I16" i="2" s="1"/>
  <c r="G9" i="5" s="1"/>
  <c r="D54" i="4"/>
  <c r="C54" i="4"/>
  <c r="C76" i="3"/>
  <c r="C57" i="3"/>
  <c r="C37" i="3"/>
  <c r="B24" i="3"/>
  <c r="O12" i="3"/>
  <c r="I22" i="2" s="1"/>
  <c r="K12" i="3"/>
  <c r="H12" i="3"/>
  <c r="C35" i="4" s="1"/>
  <c r="G12" i="3"/>
  <c r="F12" i="3"/>
  <c r="E12" i="3"/>
  <c r="D12" i="3"/>
  <c r="C12" i="3"/>
  <c r="G10" i="5" l="1"/>
  <c r="D36" i="5" s="1"/>
  <c r="B36" i="5"/>
  <c r="F31" i="5"/>
  <c r="E54" i="4"/>
  <c r="F54" i="4" s="1"/>
  <c r="I12" i="3"/>
  <c r="I17" i="2"/>
  <c r="J12" i="3"/>
  <c r="D35" i="4" s="1"/>
  <c r="E35" i="4" s="1"/>
  <c r="I15" i="15"/>
  <c r="I16" i="15"/>
  <c r="I17" i="15"/>
  <c r="I18" i="15"/>
  <c r="I30" i="16"/>
  <c r="I31" i="16"/>
  <c r="I32" i="16"/>
  <c r="I33" i="16"/>
  <c r="L31" i="7"/>
  <c r="M31" i="7"/>
  <c r="O31" i="7" s="1"/>
  <c r="L32" i="7"/>
  <c r="M32" i="7"/>
  <c r="O32" i="7" s="1"/>
  <c r="L33" i="7"/>
  <c r="M33" i="7"/>
  <c r="O33" i="7" s="1"/>
  <c r="L34" i="7"/>
  <c r="M34" i="7"/>
  <c r="O34" i="7" s="1"/>
  <c r="E47" i="2" l="1"/>
  <c r="F13" i="5" s="1"/>
  <c r="D47" i="2"/>
  <c r="L12" i="3"/>
  <c r="M12" i="3" s="1"/>
  <c r="N12" i="3"/>
  <c r="I21" i="2" s="1"/>
  <c r="C75" i="3"/>
  <c r="C56" i="3"/>
  <c r="C36" i="3"/>
  <c r="E20" i="5" s="1"/>
  <c r="D53" i="4"/>
  <c r="C53" i="4"/>
  <c r="O11" i="3"/>
  <c r="H22" i="2" s="1"/>
  <c r="K11" i="3"/>
  <c r="H11" i="3"/>
  <c r="C34" i="4" s="1"/>
  <c r="G11" i="3"/>
  <c r="F11" i="3"/>
  <c r="E11" i="3"/>
  <c r="D11" i="3"/>
  <c r="C11" i="3"/>
  <c r="G24" i="2"/>
  <c r="G15" i="2"/>
  <c r="G16" i="2" s="1"/>
  <c r="G17" i="2" s="1"/>
  <c r="I23" i="2" l="1"/>
  <c r="I26" i="2" s="1"/>
  <c r="I25" i="2"/>
  <c r="I28" i="2" s="1"/>
  <c r="E53" i="4"/>
  <c r="F53" i="4" s="1"/>
  <c r="J11" i="3"/>
  <c r="I11" i="3"/>
  <c r="E30" i="5" l="1"/>
  <c r="L11" i="3"/>
  <c r="C24" i="3" s="1"/>
  <c r="D34" i="4"/>
  <c r="E34" i="4" s="1"/>
  <c r="I14" i="15"/>
  <c r="I13" i="15"/>
  <c r="I12" i="15"/>
  <c r="I11" i="15"/>
  <c r="L27" i="7"/>
  <c r="M27" i="7"/>
  <c r="O27" i="7" s="1"/>
  <c r="L28" i="7"/>
  <c r="M28" i="7"/>
  <c r="O28" i="7" s="1"/>
  <c r="L29" i="7"/>
  <c r="M29" i="7"/>
  <c r="O29" i="7" s="1"/>
  <c r="L30" i="7"/>
  <c r="M30" i="7"/>
  <c r="O30" i="7" s="1"/>
  <c r="I26" i="16"/>
  <c r="I27" i="16"/>
  <c r="I28" i="16"/>
  <c r="I29" i="16"/>
  <c r="N11" i="3" l="1"/>
  <c r="H21" i="2" s="1"/>
  <c r="F34" i="4"/>
  <c r="E27" i="5"/>
  <c r="E17" i="5"/>
  <c r="D24" i="3"/>
  <c r="E18" i="5" s="1"/>
  <c r="E31" i="5"/>
  <c r="C15" i="2"/>
  <c r="C74" i="3"/>
  <c r="C55" i="3"/>
  <c r="C35" i="3"/>
  <c r="K10" i="3"/>
  <c r="O10" i="3"/>
  <c r="G22" i="2" s="1"/>
  <c r="O9" i="3"/>
  <c r="F22" i="2" s="1"/>
  <c r="O8" i="3"/>
  <c r="E22" i="2" s="1"/>
  <c r="O7" i="3"/>
  <c r="D22" i="2" s="1"/>
  <c r="O6" i="3"/>
  <c r="C22" i="2" s="1"/>
  <c r="O5" i="3"/>
  <c r="B22" i="2" s="1"/>
  <c r="D50" i="4"/>
  <c r="C50" i="4"/>
  <c r="D49" i="4"/>
  <c r="C49" i="4"/>
  <c r="D48" i="4"/>
  <c r="C48" i="4"/>
  <c r="D47" i="4"/>
  <c r="C47" i="4"/>
  <c r="D51" i="4"/>
  <c r="C51" i="4"/>
  <c r="I25" i="16"/>
  <c r="I24" i="16"/>
  <c r="I23" i="16"/>
  <c r="I22" i="16"/>
  <c r="I21" i="16"/>
  <c r="I20" i="16"/>
  <c r="I19" i="16"/>
  <c r="I18" i="16"/>
  <c r="I17" i="16"/>
  <c r="I16" i="16"/>
  <c r="I15" i="16"/>
  <c r="I14" i="16"/>
  <c r="I13" i="16"/>
  <c r="I12" i="16"/>
  <c r="I11" i="16"/>
  <c r="I10" i="16"/>
  <c r="I9" i="16"/>
  <c r="I8" i="16"/>
  <c r="I7" i="16"/>
  <c r="I6" i="16"/>
  <c r="I5" i="16"/>
  <c r="I4" i="16"/>
  <c r="I3" i="16"/>
  <c r="I2" i="16"/>
  <c r="M26" i="7"/>
  <c r="O26" i="7" s="1"/>
  <c r="M25" i="7"/>
  <c r="O25" i="7" s="1"/>
  <c r="M24" i="7"/>
  <c r="O24" i="7" s="1"/>
  <c r="M23" i="7"/>
  <c r="O23" i="7" s="1"/>
  <c r="M22" i="7"/>
  <c r="O22" i="7" s="1"/>
  <c r="M21" i="7"/>
  <c r="O21" i="7" s="1"/>
  <c r="M20" i="7"/>
  <c r="O20" i="7" s="1"/>
  <c r="M19" i="7"/>
  <c r="O19" i="7" s="1"/>
  <c r="L26" i="7"/>
  <c r="L25" i="7"/>
  <c r="L24" i="7"/>
  <c r="L23" i="7"/>
  <c r="L22" i="7"/>
  <c r="L21" i="7"/>
  <c r="L20" i="7"/>
  <c r="L19" i="7"/>
  <c r="I7" i="15"/>
  <c r="I8" i="15"/>
  <c r="I9" i="15"/>
  <c r="I10" i="15"/>
  <c r="C52" i="4"/>
  <c r="D52" i="4"/>
  <c r="I6" i="15"/>
  <c r="I5" i="15"/>
  <c r="I4" i="15"/>
  <c r="I3" i="15"/>
  <c r="E28" i="5" l="1"/>
  <c r="E50" i="4"/>
  <c r="F50" i="4" s="1"/>
  <c r="E47" i="4"/>
  <c r="F47" i="4" s="1"/>
  <c r="E48" i="4"/>
  <c r="F48" i="4" s="1"/>
  <c r="E49" i="4"/>
  <c r="F49" i="4" s="1"/>
  <c r="N6" i="3"/>
  <c r="C21" i="2" s="1"/>
  <c r="N8" i="3"/>
  <c r="E21" i="2" s="1"/>
  <c r="N10" i="3"/>
  <c r="G21" i="2" s="1"/>
  <c r="N5" i="3"/>
  <c r="B21" i="2" s="1"/>
  <c r="N7" i="3"/>
  <c r="D21" i="2" s="1"/>
  <c r="N9" i="3"/>
  <c r="F21" i="2" s="1"/>
  <c r="E51" i="4"/>
  <c r="F51" i="4" s="1"/>
  <c r="K7" i="4"/>
  <c r="L7" i="4" s="1"/>
  <c r="G23" i="2" l="1"/>
  <c r="G26" i="2" s="1"/>
  <c r="G25" i="2"/>
  <c r="C73" i="3"/>
  <c r="F73" i="3" s="1"/>
  <c r="G73" i="3" s="1"/>
  <c r="C54" i="3"/>
  <c r="F54" i="3" s="1"/>
  <c r="G54" i="3" s="1"/>
  <c r="C34" i="3"/>
  <c r="K9" i="3"/>
  <c r="H7" i="4"/>
  <c r="C45" i="2"/>
  <c r="C44" i="2"/>
  <c r="C43" i="2"/>
  <c r="G8" i="2"/>
  <c r="C69" i="3"/>
  <c r="F69" i="3" s="1"/>
  <c r="G69" i="3" s="1"/>
  <c r="C50" i="3"/>
  <c r="C31" i="3"/>
  <c r="C30" i="3"/>
  <c r="B20" i="5" s="1"/>
  <c r="C72" i="3"/>
  <c r="F72" i="3" s="1"/>
  <c r="G72" i="3" s="1"/>
  <c r="C71" i="3"/>
  <c r="F71" i="3" s="1"/>
  <c r="G71" i="3" s="1"/>
  <c r="C70" i="3"/>
  <c r="E70" i="3" s="1"/>
  <c r="C53" i="3"/>
  <c r="F53" i="3" s="1"/>
  <c r="G53" i="3" s="1"/>
  <c r="C52" i="3"/>
  <c r="F52" i="3" s="1"/>
  <c r="G52" i="3" s="1"/>
  <c r="C51" i="3"/>
  <c r="E51" i="3" s="1"/>
  <c r="F82" i="3"/>
  <c r="G82" i="3" s="1"/>
  <c r="E82" i="3"/>
  <c r="F81" i="3"/>
  <c r="G81" i="3" s="1"/>
  <c r="E81" i="3"/>
  <c r="F80" i="3"/>
  <c r="G80" i="3" s="1"/>
  <c r="E80" i="3"/>
  <c r="F79" i="3"/>
  <c r="G79" i="3" s="1"/>
  <c r="E79" i="3"/>
  <c r="F78" i="3"/>
  <c r="G78" i="3" s="1"/>
  <c r="E78" i="3"/>
  <c r="F77" i="3"/>
  <c r="G77" i="3" s="1"/>
  <c r="E77" i="3"/>
  <c r="F76" i="3"/>
  <c r="G76" i="3" s="1"/>
  <c r="E76" i="3"/>
  <c r="F75" i="3"/>
  <c r="G75" i="3" s="1"/>
  <c r="E75" i="3"/>
  <c r="F74" i="3"/>
  <c r="G74" i="3" s="1"/>
  <c r="E74" i="3"/>
  <c r="F63" i="3"/>
  <c r="G63" i="3" s="1"/>
  <c r="E63" i="3"/>
  <c r="F62" i="3"/>
  <c r="G62" i="3" s="1"/>
  <c r="E62" i="3"/>
  <c r="F61" i="3"/>
  <c r="G61" i="3" s="1"/>
  <c r="E61" i="3"/>
  <c r="F60" i="3"/>
  <c r="G60" i="3" s="1"/>
  <c r="E60" i="3"/>
  <c r="F59" i="3"/>
  <c r="G59" i="3" s="1"/>
  <c r="E59" i="3"/>
  <c r="F58" i="3"/>
  <c r="G58" i="3" s="1"/>
  <c r="E58" i="3"/>
  <c r="F57" i="3"/>
  <c r="G57" i="3" s="1"/>
  <c r="E57" i="3"/>
  <c r="F56" i="3"/>
  <c r="G56" i="3" s="1"/>
  <c r="E56" i="3"/>
  <c r="F55" i="3"/>
  <c r="G55" i="3" s="1"/>
  <c r="E55" i="3"/>
  <c r="C33" i="3"/>
  <c r="D20" i="5" s="1"/>
  <c r="C32" i="3"/>
  <c r="G9" i="2" l="1"/>
  <c r="G7" i="5" s="1"/>
  <c r="G6" i="5"/>
  <c r="B35" i="5" s="1"/>
  <c r="G28" i="2"/>
  <c r="E71" i="3"/>
  <c r="E73" i="3"/>
  <c r="E54" i="3"/>
  <c r="F51" i="3"/>
  <c r="G51" i="3" s="1"/>
  <c r="C20" i="5"/>
  <c r="E52" i="3"/>
  <c r="E72" i="3"/>
  <c r="E53" i="3"/>
  <c r="F70" i="3"/>
  <c r="G70" i="3" s="1"/>
  <c r="F50" i="3"/>
  <c r="G50" i="3" s="1"/>
  <c r="E69" i="3"/>
  <c r="E50" i="3"/>
  <c r="M18" i="7" l="1"/>
  <c r="O18" i="7" s="1"/>
  <c r="M17" i="7"/>
  <c r="O17" i="7" s="1"/>
  <c r="M16" i="7"/>
  <c r="O16" i="7" s="1"/>
  <c r="M14" i="7"/>
  <c r="O14" i="7" s="1"/>
  <c r="M13" i="7"/>
  <c r="O13" i="7" s="1"/>
  <c r="M12" i="7"/>
  <c r="O12" i="7" s="1"/>
  <c r="M10" i="7"/>
  <c r="O10" i="7" s="1"/>
  <c r="M9" i="7"/>
  <c r="O9" i="7" s="1"/>
  <c r="M8" i="7"/>
  <c r="O8" i="7" s="1"/>
  <c r="M7" i="7"/>
  <c r="O7" i="7" s="1"/>
  <c r="M6" i="7"/>
  <c r="O6" i="7" s="1"/>
  <c r="M5" i="7"/>
  <c r="O5" i="7" s="1"/>
  <c r="M4" i="7"/>
  <c r="O4" i="7" s="1"/>
  <c r="M3" i="7"/>
  <c r="O3" i="7" s="1"/>
  <c r="L17" i="7"/>
  <c r="L16" i="7"/>
  <c r="L13" i="7"/>
  <c r="L12" i="7"/>
  <c r="L10" i="7"/>
  <c r="L9" i="7"/>
  <c r="L8" i="7"/>
  <c r="L7" i="7"/>
  <c r="L6" i="7"/>
  <c r="L5" i="7"/>
  <c r="L4" i="7"/>
  <c r="L3" i="7"/>
  <c r="C35" i="2"/>
  <c r="C36" i="2" s="1"/>
  <c r="C37" i="2" s="1"/>
  <c r="B35" i="2"/>
  <c r="B36" i="2" s="1"/>
  <c r="C34" i="2"/>
  <c r="B34" i="2"/>
  <c r="L8" i="12"/>
  <c r="L7" i="12"/>
  <c r="L6" i="12"/>
  <c r="E32" i="3"/>
  <c r="E30" i="3"/>
  <c r="H8" i="3"/>
  <c r="C31" i="4" s="1"/>
  <c r="H7" i="3"/>
  <c r="C30" i="4" s="1"/>
  <c r="H6" i="3"/>
  <c r="C29" i="4" s="1"/>
  <c r="K8" i="3"/>
  <c r="K7" i="3"/>
  <c r="K6" i="3"/>
  <c r="K5" i="3"/>
  <c r="L17" i="12"/>
  <c r="L16" i="12"/>
  <c r="L15" i="12"/>
  <c r="L14" i="12"/>
  <c r="M13" i="12"/>
  <c r="M12" i="12"/>
  <c r="M11" i="12"/>
  <c r="M10" i="12"/>
  <c r="L10" i="12"/>
  <c r="M9" i="12"/>
  <c r="M8" i="12"/>
  <c r="M7" i="12"/>
  <c r="M6" i="12"/>
  <c r="K5" i="12"/>
  <c r="M5" i="12" s="1"/>
  <c r="K4" i="12"/>
  <c r="M4" i="12" s="1"/>
  <c r="K3" i="12"/>
  <c r="M3" i="12" s="1"/>
  <c r="M2" i="12"/>
  <c r="L2" i="12"/>
  <c r="I15" i="7"/>
  <c r="M15" i="7" s="1"/>
  <c r="O15" i="7" s="1"/>
  <c r="F15" i="7"/>
  <c r="L15" i="7" s="1"/>
  <c r="H15" i="7"/>
  <c r="F11" i="7"/>
  <c r="H11" i="7"/>
  <c r="I11" i="7"/>
  <c r="M11" i="7" s="1"/>
  <c r="O11" i="7" s="1"/>
  <c r="F18" i="7"/>
  <c r="L18" i="7" s="1"/>
  <c r="F14" i="7"/>
  <c r="L14" i="7" s="1"/>
  <c r="F35" i="4"/>
  <c r="H10" i="3"/>
  <c r="C33" i="4" s="1"/>
  <c r="G10" i="3"/>
  <c r="F10" i="3"/>
  <c r="E10" i="3"/>
  <c r="D10" i="3"/>
  <c r="C10" i="3"/>
  <c r="H9" i="3"/>
  <c r="C32" i="4" s="1"/>
  <c r="G9" i="3"/>
  <c r="F9" i="3"/>
  <c r="E9" i="3"/>
  <c r="D9" i="3"/>
  <c r="C9" i="3"/>
  <c r="G8" i="3"/>
  <c r="E8" i="3"/>
  <c r="D8" i="3"/>
  <c r="G7" i="3"/>
  <c r="E7" i="3"/>
  <c r="D7" i="3"/>
  <c r="C7" i="3"/>
  <c r="G6" i="3"/>
  <c r="F6" i="3"/>
  <c r="E6" i="3"/>
  <c r="D6" i="3"/>
  <c r="C6" i="3"/>
  <c r="H5" i="3"/>
  <c r="C28" i="4" s="1"/>
  <c r="G5" i="3"/>
  <c r="F5" i="3"/>
  <c r="E5" i="3"/>
  <c r="D5" i="3"/>
  <c r="C5" i="3"/>
  <c r="J16" i="3"/>
  <c r="D39" i="4" s="1"/>
  <c r="E39" i="4" s="1"/>
  <c r="F39" i="4" s="1"/>
  <c r="I16" i="3"/>
  <c r="J15" i="3"/>
  <c r="D38" i="4" s="1"/>
  <c r="E38" i="4" s="1"/>
  <c r="I15" i="3"/>
  <c r="J14" i="3"/>
  <c r="D37" i="4" s="1"/>
  <c r="E37" i="4" s="1"/>
  <c r="F37" i="4" s="1"/>
  <c r="I14" i="3"/>
  <c r="J13" i="3"/>
  <c r="D36" i="4" s="1"/>
  <c r="E36" i="4" s="1"/>
  <c r="I13" i="3"/>
  <c r="B23" i="3"/>
  <c r="B22" i="3"/>
  <c r="B21" i="3"/>
  <c r="B25" i="3" s="1"/>
  <c r="J17" i="3"/>
  <c r="L17" i="3"/>
  <c r="E40" i="4"/>
  <c r="F40" i="4" s="1"/>
  <c r="G40" i="4" s="1"/>
  <c r="L16" i="4"/>
  <c r="M16" i="4" s="1"/>
  <c r="L15" i="4"/>
  <c r="M15" i="4" s="1"/>
  <c r="L14" i="4"/>
  <c r="M14" i="4" s="1"/>
  <c r="L13" i="4"/>
  <c r="M13" i="4" s="1"/>
  <c r="L12" i="4"/>
  <c r="M12" i="4" s="1"/>
  <c r="L11" i="4"/>
  <c r="M11" i="4" s="1"/>
  <c r="L10" i="4"/>
  <c r="M10" i="4" s="1"/>
  <c r="M9" i="4"/>
  <c r="M8" i="4"/>
  <c r="F43" i="3"/>
  <c r="G43" i="3" s="1"/>
  <c r="E43" i="3"/>
  <c r="F42" i="3"/>
  <c r="G42" i="3" s="1"/>
  <c r="E42" i="3"/>
  <c r="F41" i="3"/>
  <c r="G41" i="3" s="1"/>
  <c r="E41" i="3"/>
  <c r="F40" i="3"/>
  <c r="E40" i="3"/>
  <c r="F39" i="3"/>
  <c r="G39" i="3" s="1"/>
  <c r="E39" i="3"/>
  <c r="F38" i="3"/>
  <c r="E38" i="3"/>
  <c r="F37" i="3"/>
  <c r="G37" i="3" s="1"/>
  <c r="E37" i="3"/>
  <c r="F36" i="3"/>
  <c r="E36" i="3"/>
  <c r="F35" i="3"/>
  <c r="G35" i="3" s="1"/>
  <c r="E34" i="3"/>
  <c r="H25" i="2"/>
  <c r="F24" i="2"/>
  <c r="F25" i="2" s="1"/>
  <c r="E24" i="2"/>
  <c r="D24" i="2"/>
  <c r="C24" i="2"/>
  <c r="B24" i="2"/>
  <c r="H23" i="2"/>
  <c r="H26" i="2" s="1"/>
  <c r="F23" i="2"/>
  <c r="H15" i="2"/>
  <c r="H16" i="2" s="1"/>
  <c r="F15" i="2"/>
  <c r="F16" i="2" s="1"/>
  <c r="E15" i="2"/>
  <c r="E16" i="2" s="1"/>
  <c r="D9" i="5" s="1"/>
  <c r="D15" i="2"/>
  <c r="D16" i="2" s="1"/>
  <c r="D17" i="2" s="1"/>
  <c r="C16" i="2"/>
  <c r="B15" i="2"/>
  <c r="B16" i="2" s="1"/>
  <c r="F8" i="2"/>
  <c r="F6" i="5" s="1"/>
  <c r="E9" i="2"/>
  <c r="E7" i="5" s="1"/>
  <c r="D8" i="2"/>
  <c r="C8" i="2"/>
  <c r="C6" i="5" s="1"/>
  <c r="B8" i="2"/>
  <c r="L11" i="7" l="1"/>
  <c r="D36" i="2"/>
  <c r="B37" i="2"/>
  <c r="B46" i="2"/>
  <c r="E12" i="5" s="1"/>
  <c r="M29" i="2"/>
  <c r="F8" i="3"/>
  <c r="E37" i="2"/>
  <c r="F37" i="2" s="1"/>
  <c r="C38" i="2"/>
  <c r="F38" i="4"/>
  <c r="G27" i="5"/>
  <c r="G40" i="3"/>
  <c r="G21" i="5"/>
  <c r="D39" i="5" s="1"/>
  <c r="E9" i="5"/>
  <c r="E10" i="5" s="1"/>
  <c r="F9" i="5"/>
  <c r="G38" i="3"/>
  <c r="F21" i="5"/>
  <c r="F36" i="4"/>
  <c r="F27" i="5"/>
  <c r="D46" i="2"/>
  <c r="G36" i="3"/>
  <c r="E21" i="5"/>
  <c r="E36" i="2"/>
  <c r="F36" i="2" s="1"/>
  <c r="C9" i="5"/>
  <c r="C10" i="5" s="1"/>
  <c r="C17" i="2"/>
  <c r="F26" i="2"/>
  <c r="L29" i="2" s="1"/>
  <c r="G14" i="5" s="1"/>
  <c r="J9" i="3"/>
  <c r="L9" i="3" s="1"/>
  <c r="J10" i="3"/>
  <c r="L10" i="3" s="1"/>
  <c r="M17" i="3"/>
  <c r="P17" i="3" s="1"/>
  <c r="F7" i="3"/>
  <c r="J7" i="3" s="1"/>
  <c r="C8" i="3"/>
  <c r="I8" i="3" s="1"/>
  <c r="B6" i="5"/>
  <c r="E35" i="2"/>
  <c r="F35" i="2" s="1"/>
  <c r="H17" i="2"/>
  <c r="E34" i="2"/>
  <c r="F34" i="2" s="1"/>
  <c r="F31" i="3"/>
  <c r="F33" i="3"/>
  <c r="J8" i="3"/>
  <c r="L8" i="3" s="1"/>
  <c r="J6" i="3"/>
  <c r="L6" i="3" s="1"/>
  <c r="I6" i="3"/>
  <c r="J5" i="3"/>
  <c r="I7" i="3"/>
  <c r="I5" i="3"/>
  <c r="D35" i="2"/>
  <c r="B9" i="2"/>
  <c r="B7" i="5" s="1"/>
  <c r="D34" i="2"/>
  <c r="F30" i="3"/>
  <c r="G30" i="3" s="1"/>
  <c r="L13" i="12"/>
  <c r="L3" i="12"/>
  <c r="L9" i="12"/>
  <c r="L12" i="12"/>
  <c r="L11" i="12"/>
  <c r="L4" i="12"/>
  <c r="L5" i="12"/>
  <c r="M11" i="3"/>
  <c r="L14" i="3"/>
  <c r="M14" i="3" s="1"/>
  <c r="L15" i="3"/>
  <c r="L16" i="3"/>
  <c r="M16" i="3" s="1"/>
  <c r="B20" i="4"/>
  <c r="C20" i="4"/>
  <c r="I10" i="3"/>
  <c r="I9" i="3"/>
  <c r="F34" i="3"/>
  <c r="G34" i="3" s="1"/>
  <c r="E33" i="3"/>
  <c r="H28" i="2"/>
  <c r="D9" i="2"/>
  <c r="C9" i="2"/>
  <c r="C7" i="5" s="1"/>
  <c r="E31" i="3"/>
  <c r="F32" i="3"/>
  <c r="G32" i="3" s="1"/>
  <c r="E35" i="3"/>
  <c r="B14" i="5"/>
  <c r="B9" i="5"/>
  <c r="B17" i="2"/>
  <c r="B10" i="5" s="1"/>
  <c r="F17" i="2"/>
  <c r="E17" i="2"/>
  <c r="D6" i="5"/>
  <c r="F9" i="2"/>
  <c r="F7" i="5" s="1"/>
  <c r="D35" i="5" s="1"/>
  <c r="C39" i="2" l="1"/>
  <c r="E46" i="2"/>
  <c r="E13" i="5" s="1"/>
  <c r="B38" i="2"/>
  <c r="D37" i="2"/>
  <c r="M15" i="3"/>
  <c r="I21" i="3"/>
  <c r="B41" i="5"/>
  <c r="G28" i="5"/>
  <c r="D41" i="5" s="1"/>
  <c r="F28" i="2"/>
  <c r="F10" i="5"/>
  <c r="F28" i="5"/>
  <c r="M13" i="3"/>
  <c r="C25" i="3"/>
  <c r="K21" i="3" s="1"/>
  <c r="D20" i="4"/>
  <c r="G31" i="3"/>
  <c r="C21" i="5"/>
  <c r="G33" i="3"/>
  <c r="D21" i="5"/>
  <c r="E23" i="2"/>
  <c r="E26" i="2" s="1"/>
  <c r="K29" i="2" s="1"/>
  <c r="C23" i="2"/>
  <c r="C26" i="2" s="1"/>
  <c r="D23" i="2"/>
  <c r="D26" i="2" s="1"/>
  <c r="L7" i="3"/>
  <c r="M7" i="3" s="1"/>
  <c r="B23" i="2"/>
  <c r="B26" i="2" s="1"/>
  <c r="B43" i="2" s="1"/>
  <c r="L5" i="3"/>
  <c r="M5" i="3" s="1"/>
  <c r="B21" i="5"/>
  <c r="D10" i="5"/>
  <c r="M6" i="3"/>
  <c r="M8" i="3"/>
  <c r="C25" i="2"/>
  <c r="D22" i="4"/>
  <c r="F24" i="5" s="1"/>
  <c r="D21" i="4"/>
  <c r="E24" i="5" s="1"/>
  <c r="M7" i="4"/>
  <c r="D29" i="4"/>
  <c r="D32" i="4"/>
  <c r="D33" i="4"/>
  <c r="E33" i="4" s="1"/>
  <c r="F33" i="4" s="1"/>
  <c r="E52" i="4"/>
  <c r="F52" i="4" s="1"/>
  <c r="D28" i="4"/>
  <c r="D30" i="4"/>
  <c r="M9" i="3"/>
  <c r="D31" i="4"/>
  <c r="M10" i="3"/>
  <c r="D7" i="5"/>
  <c r="D38" i="2" l="1"/>
  <c r="B39" i="2"/>
  <c r="D39" i="2" s="1"/>
  <c r="J21" i="3"/>
  <c r="G18" i="5" s="1"/>
  <c r="D38" i="5" s="1"/>
  <c r="G17" i="5"/>
  <c r="B38" i="5" s="1"/>
  <c r="E38" i="2"/>
  <c r="F38" i="2" s="1"/>
  <c r="E39" i="2"/>
  <c r="F39" i="2" s="1"/>
  <c r="D28" i="2"/>
  <c r="J29" i="2"/>
  <c r="F14" i="5" s="1"/>
  <c r="D25" i="3"/>
  <c r="F18" i="5" s="1"/>
  <c r="F17" i="5"/>
  <c r="D30" i="5"/>
  <c r="D31" i="5" s="1"/>
  <c r="H29" i="2"/>
  <c r="E14" i="5" s="1"/>
  <c r="I29" i="2"/>
  <c r="C29" i="2"/>
  <c r="G29" i="2"/>
  <c r="D14" i="5" s="1"/>
  <c r="E28" i="2"/>
  <c r="B45" i="2"/>
  <c r="E20" i="4"/>
  <c r="D25" i="5" s="1"/>
  <c r="D24" i="5"/>
  <c r="E29" i="4"/>
  <c r="E25" i="2"/>
  <c r="B44" i="2"/>
  <c r="E44" i="2" s="1"/>
  <c r="C13" i="5" s="1"/>
  <c r="D29" i="2"/>
  <c r="C14" i="5" s="1"/>
  <c r="D25" i="2"/>
  <c r="B25" i="2"/>
  <c r="B28" i="2" s="1"/>
  <c r="E28" i="4"/>
  <c r="F28" i="4" s="1"/>
  <c r="B12" i="5"/>
  <c r="E43" i="2"/>
  <c r="D43" i="2"/>
  <c r="E29" i="2"/>
  <c r="E31" i="4"/>
  <c r="F29" i="2"/>
  <c r="C28" i="2"/>
  <c r="E30" i="4"/>
  <c r="F30" i="4" s="1"/>
  <c r="E32" i="4"/>
  <c r="F32" i="4" s="1"/>
  <c r="C23" i="3"/>
  <c r="C21" i="3"/>
  <c r="E21" i="3" s="1"/>
  <c r="C22" i="3"/>
  <c r="D23" i="3" l="1"/>
  <c r="D18" i="5" s="1"/>
  <c r="E25" i="3"/>
  <c r="D22" i="3"/>
  <c r="C18" i="5" s="1"/>
  <c r="E24" i="3"/>
  <c r="D27" i="5"/>
  <c r="D28" i="5" s="1"/>
  <c r="F29" i="4"/>
  <c r="C27" i="5"/>
  <c r="C28" i="5" s="1"/>
  <c r="D44" i="2"/>
  <c r="C12" i="5"/>
  <c r="B27" i="5"/>
  <c r="B28" i="5" s="1"/>
  <c r="F31" i="4"/>
  <c r="E22" i="4"/>
  <c r="F25" i="5" s="1"/>
  <c r="D12" i="5"/>
  <c r="D45" i="2"/>
  <c r="E45" i="2"/>
  <c r="D13" i="5" s="1"/>
  <c r="E21" i="4"/>
  <c r="E25" i="5" s="1"/>
  <c r="D17" i="5"/>
  <c r="D21" i="3"/>
  <c r="B18" i="5" s="1"/>
  <c r="B17" i="5"/>
  <c r="C17" i="5"/>
  <c r="E22" i="3"/>
  <c r="E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tc={CA0EB3D4-E22A-4255-ADBC-259B3297DC99}</author>
    <author>tc={F6528E7E-2454-409B-BDE5-B4E3B42B78FD}</author>
    <author>tc={A27D7659-A783-4151-B197-EE5A0CB033D4}</author>
  </authors>
  <commentList>
    <comment ref="F17" authorId="0" shapeId="0" xr:uid="{CA0EB3D4-E22A-4255-ADBC-259B3297DC99}">
      <text>
        <t>[Threaded comment]
Your version of Excel allows you to read this threaded comment; however, any edits to it will get removed if the file is opened in a newer version of Excel. Learn more: https://go.microsoft.com/fwlink/?linkid=870924
Comment:
    Release activities took priorities over sprint</t>
      </text>
    </comment>
    <comment ref="G17" authorId="1" shapeId="0" xr:uid="{F6528E7E-2454-409B-BDE5-B4E3B42B78FD}">
      <text>
        <t>[Threaded comment]
Your version of Excel allows you to read this threaded comment; however, any edits to it will get removed if the file is opened in a newer version of Excel. Learn more: https://go.microsoft.com/fwlink/?linkid=870924
Comment:
    Release activities took priorities over sprint</t>
      </text>
    </comment>
    <comment ref="G18" authorId="2" shapeId="0" xr:uid="{A27D7659-A783-4151-B197-EE5A0CB033D4}">
      <text>
        <t>[Threaded comment]
Your version of Excel allows you to read this threaded comment; however, any edits to it will get removed if the file is opened in a newer version of Excel. Learn more: https://go.microsoft.com/fwlink/?linkid=870924
Comment:
    Release activities took priorities over sprint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tc={EF36D533-8176-4866-9F61-9DDF77DFF650}</author>
    <author>tc={3F1231AC-F79E-49B5-AFCC-3085F0094E49}</author>
    <author>tc={DD17ED5E-0A99-4D43-A78B-7597112CE23B}</author>
    <author>tc={9914E31A-CB1F-4D14-9FD8-FF344D4A4A21}</author>
    <author>tc={962F2731-D23B-426B-A2A9-F215E4BB038D}</author>
    <author>tc={C824288D-5E1F-40EF-93F2-75B5B68337D6}</author>
    <author>tc={F2A6783D-48D5-4052-BF8E-9EDFB05336D9}</author>
  </authors>
  <commentList>
    <comment ref="A7" authorId="0" shapeId="0" xr:uid="{EF36D533-8176-4866-9F61-9DDF77DFF650}">
      <text>
        <t>[Threaded comment]
Your version of Excel allows you to read this threaded comment; however, any edits to it will get removed if the file is opened in a newer version of Excel. Learn more: https://go.microsoft.com/fwlink/?linkid=870924
Comment:
    What is spent so far</t>
      </text>
    </comment>
    <comment ref="C14" authorId="1" shapeId="0" xr:uid="{3F1231AC-F79E-49B5-AFCC-3085F0094E49}">
      <text>
        <t>[Threaded comment]
Your version of Excel allows you to read this threaded comment; however, any edits to it will get removed if the file is opened in a newer version of Excel. Learn more: https://go.microsoft.com/fwlink/?linkid=870924
Comment:
    Offshore holiday on 1/26 i.e. $7,680</t>
      </text>
    </comment>
    <comment ref="B23" authorId="2" shapeId="0" xr:uid="{DD17ED5E-0A99-4D43-A78B-7597112CE23B}">
      <text>
        <t>[Threaded comment]
Your version of Excel allows you to read this threaded comment; however, any edits to it will get removed if the file is opened in a newer version of Excel. Learn more: https://go.microsoft.com/fwlink/?linkid=870924
Comment:
    This does not include team 1 points as they were into kanban</t>
      </text>
    </comment>
    <comment ref="C23" authorId="3" shapeId="0" xr:uid="{9914E31A-CB1F-4D14-9FD8-FF344D4A4A21}">
      <text>
        <t>[Threaded comment]
Your version of Excel allows you to read this threaded comment; however, any edits to it will get removed if the file is opened in a newer version of Excel. Learn more: https://go.microsoft.com/fwlink/?linkid=870924
Comment:
    This includes team 1 points end of SP2.</t>
      </text>
    </comment>
    <comment ref="G26" authorId="4" shapeId="0" xr:uid="{962F2731-D23B-426B-A2A9-F215E4BB038D}">
      <text>
        <t>[Threaded comment]
Your version of Excel allows you to read this threaded comment; however, any edits to it will get removed if the file is opened in a newer version of Excel. Learn more: https://go.microsoft.com/fwlink/?linkid=870924
Comment:
    Due to BRP, overall team delivered less points</t>
      </text>
    </comment>
    <comment ref="A27" authorId="5" shapeId="0" xr:uid="{C824288D-5E1F-40EF-93F2-75B5B68337D6}">
      <text>
        <t>[Threaded comment]
Your version of Excel allows you to read this threaded comment; however, any edits to it will get removed if the file is opened in a newer version of Excel. Learn more: https://go.microsoft.com/fwlink/?linkid=870924
Comment:
    Need to have Innova and ERIE cost for this baseline cost</t>
      </text>
    </comment>
    <comment ref="B29" authorId="6" shapeId="0" xr:uid="{F2A6783D-48D5-4052-BF8E-9EDFB05336D9}">
      <text>
        <t>[Threaded comment]
Your version of Excel allows you to read this threaded comment; however, any edits to it will get removed if the file is opened in a newer version of Excel. Learn more: https://go.microsoft.com/fwlink/?linkid=870924
Comment:
    This should be ignored as team 1 points not included here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tc={7338BA63-A54E-47F4-8E98-00C26DDF99C5}</author>
  </authors>
  <commentList>
    <comment ref="H8" authorId="0" shapeId="0" xr:uid="{7338BA63-A54E-47F4-8E98-00C26DDF99C5}">
      <text>
        <t>[Threaded comment]
Your version of Excel allows you to read this threaded comment; however, any edits to it will get removed if the file is opened in a newer version of Excel. Learn more: https://go.microsoft.com/fwlink/?linkid=870924
Comment:
    No point assigned to bugs</t>
      </text>
    </comment>
  </commentList>
</comments>
</file>

<file path=xl/sharedStrings.xml><?xml version="1.0" encoding="utf-8"?>
<sst xmlns="http://schemas.openxmlformats.org/spreadsheetml/2006/main" count="1526" uniqueCount="582">
  <si>
    <t>EFL — Executive Scorecard</t>
  </si>
  <si>
    <t>PURPOSE</t>
  </si>
  <si>
    <t>This workbook collects all raw data needed to calculate the 8 scorecard metrics and automatically computes status (Green/Yellow/Red).</t>
  </si>
  <si>
    <t>HOW TO USE</t>
  </si>
  <si>
    <t>1. Each month/sprint: open the relevant DATA INPUT sheet and enter blue-text cells only.</t>
  </si>
  <si>
    <t>2. The SCORECARD sheet pulls all computed metrics automatically — do not edit it.</t>
  </si>
  <si>
    <t>3. The Formulas sheet is a reference for all metric definitions and thresholds.</t>
  </si>
  <si>
    <t>COLOR CODING</t>
  </si>
  <si>
    <t>Blue = Input cells (you fill these)  |  Black = Formula (auto-calculated)  |  Green = Cross-sheet link</t>
  </si>
  <si>
    <t>SHEETS</t>
  </si>
  <si>
    <t xml:space="preserve">  💵 Financial</t>
  </si>
  <si>
    <t>Enter monthly cost actuals, planned spend, story points, and EAC updates.</t>
  </si>
  <si>
    <t xml:space="preserve">  🏃 Sprints</t>
  </si>
  <si>
    <t>AUTO-CALCULATED - Pull all data from 'Team Sprints Input' sheet and 'Team Median Input'</t>
  </si>
  <si>
    <t xml:space="preserve">  🏃 Team Sprints Input</t>
  </si>
  <si>
    <t>Enterp per-sprint commitment and completion counts for each delivery teams.</t>
  </si>
  <si>
    <t xml:space="preserve">        Team Median Input</t>
  </si>
  <si>
    <t>Enterp per-sprint median cycle time (Dev, QA and Overall) for each delivery teams.</t>
  </si>
  <si>
    <t xml:space="preserve">  🐛 Quality</t>
  </si>
  <si>
    <t>Enter defect counts by severity per release; enter rework effort and first time pass rate</t>
  </si>
  <si>
    <t xml:space="preserve">  📊 Scorecard</t>
  </si>
  <si>
    <t>AUTO-CALCULATED. All 7 metrics with RAG status and 3-month/3-sprint trend.</t>
  </si>
  <si>
    <t xml:space="preserve">  📐 Formulas</t>
  </si>
  <si>
    <t>Reference sheet with all metric definitions and threshold rules.</t>
  </si>
  <si>
    <t>FREQUENCY</t>
  </si>
  <si>
    <t>Financial &amp; Quality = Monthly.  Sprint metrics = Per sprint + monthly rollup.</t>
  </si>
  <si>
    <t>BASELINE</t>
  </si>
  <si>
    <t>Set baselines in the yellow-highlighted cells on the Financial and Sprint sheets on first use.</t>
  </si>
  <si>
    <t>EXECUTIVE SCORECARD — Auto-Calculated Summary</t>
  </si>
  <si>
    <t>All values pull automatically from the data input sheets. Do not edit this sheet.</t>
  </si>
  <si>
    <t>Metric</t>
  </si>
  <si>
    <t>Jan</t>
  </si>
  <si>
    <t>Feb</t>
  </si>
  <si>
    <t>Mar</t>
  </si>
  <si>
    <t>Apr</t>
  </si>
  <si>
    <t>May</t>
  </si>
  <si>
    <t>Jun</t>
  </si>
  <si>
    <t>Threshold / Target</t>
  </si>
  <si>
    <t>💰  FINANCIAL HEALTH</t>
  </si>
  <si>
    <t>EAC vs SOW Budget %</t>
  </si>
  <si>
    <t>🟢 ≤100%   🟡 100–105%   🔴 &gt;105%</t>
  </si>
  <si>
    <t>EAC Status</t>
  </si>
  <si>
    <t>Auto from Financial sheet</t>
  </si>
  <si>
    <t>Monthly Burn Variance %</t>
  </si>
  <si>
    <t>🟢 ≤±5%   🟡 ±5–10%   🔴 &gt;±10%</t>
  </si>
  <si>
    <t>Burn Variance Status</t>
  </si>
  <si>
    <t>Cost per SP — Stories Delivered($)</t>
  </si>
  <si>
    <t>🟢 Stable/↓   🟡 ↑5–10%   🔴 ↑&gt;10%</t>
  </si>
  <si>
    <t>Cost/SP Status</t>
  </si>
  <si>
    <t>NIL</t>
  </si>
  <si>
    <t>3-Mo Rolling Avg Cost/SP ($)</t>
  </si>
  <si>
    <t>Trend indicator</t>
  </si>
  <si>
    <t>🏃  DELIVERY PREDICTABILITY &amp; FLOW</t>
  </si>
  <si>
    <t>Commitment Reliability — Monthly Avg</t>
  </si>
  <si>
    <t>🟢 ≥85%   🟡 75–84%   🔴 &lt;75%</t>
  </si>
  <si>
    <t>CR Status</t>
  </si>
  <si>
    <t>Auto from Sprints sheet</t>
  </si>
  <si>
    <t xml:space="preserve">Cycle Time Median </t>
  </si>
  <si>
    <t>🟢 Stable/↓   🟡 ↑ up to 10%   🔴 ↑&gt;10%</t>
  </si>
  <si>
    <t>Cycle Time Status</t>
  </si>
  <si>
    <t>🐛  QUALITY &amp; REWORK</t>
  </si>
  <si>
    <t>Defect Leakage % — Monthly</t>
  </si>
  <si>
    <t>🟢 ≤10%   🟡 11–15%   🔴 &gt;15%</t>
  </si>
  <si>
    <t>Leakage Status</t>
  </si>
  <si>
    <t>Auto from Quality sheet</t>
  </si>
  <si>
    <t>Rework Ratio — Monthly</t>
  </si>
  <si>
    <t>Rework Status</t>
  </si>
  <si>
    <t>🟢 ≤20%   🟡 21–30%   🔴 &gt;30%</t>
  </si>
  <si>
    <t>First Time Pass Rate</t>
  </si>
  <si>
    <t>Status</t>
  </si>
  <si>
    <t>&gt;=95% : Green, &gt;85% : Yellow, &lt;=85% Red</t>
  </si>
  <si>
    <t>📋  CURRENT MONTH SNAPSHOT — All Metrics at a Glance</t>
  </si>
  <si>
    <t>Current Value</t>
  </si>
  <si>
    <t>Target</t>
  </si>
  <si>
    <t>Remarks</t>
  </si>
  <si>
    <t>EAC vs Budget</t>
  </si>
  <si>
    <t>≤100%</t>
  </si>
  <si>
    <t>this is for June month</t>
  </si>
  <si>
    <t>Monthly Burn Variance</t>
  </si>
  <si>
    <t>±5%</t>
  </si>
  <si>
    <t>3 Onsite positions removed (Lalitha, Anil, Nanda) and rest all PTOs</t>
  </si>
  <si>
    <t>Cost/SP — Team</t>
  </si>
  <si>
    <t>Commitment Reliability</t>
  </si>
  <si>
    <t>≥85%</t>
  </si>
  <si>
    <t>Overall red combining Q2 SP3, SP4 but SP2 commitment</t>
  </si>
  <si>
    <t>Cycle Time (Median)</t>
  </si>
  <si>
    <t>5.4 days</t>
  </si>
  <si>
    <t>Prod Defect Leakage</t>
  </si>
  <si>
    <t>≤10%</t>
  </si>
  <si>
    <t>Rework Ratio</t>
  </si>
  <si>
    <t>≤20%</t>
  </si>
  <si>
    <t>this covers Q2 SP5 and Q2 SP6. Team 1 rework ratio was high 50%</t>
  </si>
  <si>
    <t>FTPR</t>
  </si>
  <si>
    <t>&gt;=95%</t>
  </si>
  <si>
    <t>Team 1 and Team 2 had low FTPR consistently for both sprints</t>
  </si>
  <si>
    <t>FINANCIAL DATA INPUT — Monthly</t>
  </si>
  <si>
    <t>Blue cells = enter data. Black cells = auto-calculated. Update monthly.</t>
  </si>
  <si>
    <t>SECTION A — Budget &amp; EAC</t>
  </si>
  <si>
    <t>Field</t>
  </si>
  <si>
    <t>July</t>
  </si>
  <si>
    <t>Notes</t>
  </si>
  <si>
    <t>SOW Budget Target ($)</t>
  </si>
  <si>
    <t>Enter SOW contract value</t>
  </si>
  <si>
    <t>Estimate at Completion EAC ($)</t>
  </si>
  <si>
    <t>Enter latest EAC each month</t>
  </si>
  <si>
    <t>EAC vs Budget %</t>
  </si>
  <si>
    <t>Auto: EAC÷Budget</t>
  </si>
  <si>
    <t>Auto: RAG threshold ≤100%/≤105%/&gt;105%</t>
  </si>
  <si>
    <t>SECTION B — Sprint Burn Variance (Exclude VM DM cost and Innova/ERIE cost)</t>
  </si>
  <si>
    <t>SP1</t>
  </si>
  <si>
    <t>SP2</t>
  </si>
  <si>
    <t>SP3</t>
  </si>
  <si>
    <t>SP4</t>
  </si>
  <si>
    <t>SP5</t>
  </si>
  <si>
    <t>SP6</t>
  </si>
  <si>
    <t>Q2 SP1</t>
  </si>
  <si>
    <t>Q2 SP2</t>
  </si>
  <si>
    <t>Q2 SP3</t>
  </si>
  <si>
    <t>Q2 SP4</t>
  </si>
  <si>
    <t>Q2 SP5</t>
  </si>
  <si>
    <t>Q2 SP6</t>
  </si>
  <si>
    <t>Planned Monthly Spend ($)</t>
  </si>
  <si>
    <t>Enter planned budget for given sprint</t>
  </si>
  <si>
    <t>ERIE</t>
  </si>
  <si>
    <t>Colton, John, Luke, Jacob, Marc, Jen, Erin, Matt, Sierra, Ryan, Mru</t>
  </si>
  <si>
    <t>Actual Monthly Spend ($)</t>
  </si>
  <si>
    <t>Enter actual spend</t>
  </si>
  <si>
    <t>Innova</t>
  </si>
  <si>
    <t>4 onsite (2 Mendix + 1 Integration + 1 BA), 4 offshore (2 Mendix + 2 QA)</t>
  </si>
  <si>
    <t>Burn Variance ($)</t>
  </si>
  <si>
    <t>Auto: Actual−Planned</t>
  </si>
  <si>
    <t>Burn Variance %</t>
  </si>
  <si>
    <t>Auto: Variance÷Planned</t>
  </si>
  <si>
    <t>Burn Status</t>
  </si>
  <si>
    <t>Auto: RAG ≤±5% / ≤±10% / &gt;±10%</t>
  </si>
  <si>
    <t>SECTION C — Cost per Story Point (Only VM)</t>
  </si>
  <si>
    <t>Story Points Delivered (All 4 Teams)</t>
  </si>
  <si>
    <t>Feature+story SP completed</t>
  </si>
  <si>
    <t>Defect (bugs) SP Delivered  (All 4 Teams)</t>
  </si>
  <si>
    <t>Defect SP completed this month</t>
  </si>
  <si>
    <t>Total SP (incl. Defects)</t>
  </si>
  <si>
    <t>Auto: sum</t>
  </si>
  <si>
    <t>Team Cost ($) (from Actual Burn)</t>
  </si>
  <si>
    <t>Auto: links from Actual Spend above</t>
  </si>
  <si>
    <t>Cost per SP — Stories Completed ($)</t>
  </si>
  <si>
    <t>Auto: Team Cost ÷ Stories SP</t>
  </si>
  <si>
    <t>Cost per SP — Stories + Standalone Defects ($)</t>
  </si>
  <si>
    <t>Auto: Team Cost ÷ Total SP</t>
  </si>
  <si>
    <t>Baseline Cost/SP — Team ($)</t>
  </si>
  <si>
    <t xml:space="preserve">🟡 Set once based on 2-3 Sprints </t>
  </si>
  <si>
    <t>Team Cost/SP Status</t>
  </si>
  <si>
    <t>Auto: RAG vs baseline ±10% (Variance &lt;=10% Yellow, &gt;10% Red)</t>
  </si>
  <si>
    <t>3-Month Rolling Avg Cost/SP — Team ($)</t>
  </si>
  <si>
    <t>Auto: rolling 3-month avg (for trend reporting)</t>
  </si>
  <si>
    <t>MONTHLY ROLLUP — Budget &amp; EAC</t>
  </si>
  <si>
    <t>Month</t>
  </si>
  <si>
    <t>Budget</t>
  </si>
  <si>
    <t>Actual</t>
  </si>
  <si>
    <t>Variance ($)</t>
  </si>
  <si>
    <t>Variance %</t>
  </si>
  <si>
    <t>3-Sprint Trend</t>
  </si>
  <si>
    <t>January</t>
  </si>
  <si>
    <t>February</t>
  </si>
  <si>
    <t>March</t>
  </si>
  <si>
    <t>April</t>
  </si>
  <si>
    <t>June</t>
  </si>
  <si>
    <t>MONTHLY ROLLUP — Cost per Story Point</t>
  </si>
  <si>
    <t>Baseline</t>
  </si>
  <si>
    <t>Trend</t>
  </si>
  <si>
    <t>QUALITY DATA INPUT — Monthly &amp; Per Release</t>
  </si>
  <si>
    <t>Enter defect data per release. Enter effort hours monthly. Status is auto-calculated.</t>
  </si>
  <si>
    <r>
      <t xml:space="preserve">SECTION A — Production Defect Leakage (Per Release) - </t>
    </r>
    <r>
      <rPr>
        <b/>
        <sz val="9"/>
        <color rgb="FFFFFFFF"/>
        <rFont val="Arial"/>
        <family val="2"/>
      </rPr>
      <t>0–10% : Green 11–15% : Yellow, 15%&gt; : Red</t>
    </r>
  </si>
  <si>
    <t>Formula: Prod Defect / All Defects X 100   |   Sev1=5×   Sev2=3×   Sev3=1×</t>
  </si>
  <si>
    <t>Release / Feature</t>
  </si>
  <si>
    <t>Prod Defects
Sev 1 (#)</t>
  </si>
  <si>
    <t>Prod Defects
Sev 2 (#)</t>
  </si>
  <si>
    <t>Prod Defects
Sev 3 (#)</t>
  </si>
  <si>
    <t>Prod Defects
Sev 4 (#)</t>
  </si>
  <si>
    <t>Prod Defects
Sev 5 (#)</t>
  </si>
  <si>
    <t>Total Prod Defects</t>
  </si>
  <si>
    <t>QA Defects</t>
  </si>
  <si>
    <t>UAT Defects</t>
  </si>
  <si>
    <t>Total Defects</t>
  </si>
  <si>
    <t>Leakage %
(auto)</t>
  </si>
  <si>
    <t>EEL STOLI Release</t>
  </si>
  <si>
    <t>TUW Pilot</t>
  </si>
  <si>
    <t>TUW 1.1</t>
  </si>
  <si>
    <t>TUW 1.3</t>
  </si>
  <si>
    <t>SECTION B — Monthly Defect Leakage Rollup - 0–10% : Green 11–15% : Yellow, 15%&gt; : Red</t>
  </si>
  <si>
    <t>Total Pre-prod Defects</t>
  </si>
  <si>
    <t>Leakage %</t>
  </si>
  <si>
    <t>SECTION C — Rework Ratio (Sprint and Monthly View) - &lt;=20% : Green, &lt;=30% : Yellow, &gt;30% Red</t>
  </si>
  <si>
    <t>Rework Ratio = Defect Effort in Points/ Total Completed Story Points × 100</t>
  </si>
  <si>
    <t>Sprint ID</t>
  </si>
  <si>
    <t>Rework # 
(Standalone Bugs)</t>
  </si>
  <si>
    <t>Total Completed</t>
  </si>
  <si>
    <t>Mitigation</t>
  </si>
  <si>
    <t>Sprint 1</t>
  </si>
  <si>
    <t>Sprint 2</t>
  </si>
  <si>
    <t>Sprint 3</t>
  </si>
  <si>
    <t>Sprint 4</t>
  </si>
  <si>
    <t>Sprint 5</t>
  </si>
  <si>
    <t>Sprint 6</t>
  </si>
  <si>
    <t>Q2 Sprint 1</t>
  </si>
  <si>
    <t>Q2 Sprint 2</t>
  </si>
  <si>
    <t>The rework % increase due to Team 1 uncovering App Packet and Policy Packet form related defects</t>
  </si>
  <si>
    <t>Coding/design errors - Solution lead of team 1 agreed to increase unit testing coverage</t>
  </si>
  <si>
    <t>Q2 Sprint 3</t>
  </si>
  <si>
    <t>The rework % came down as more story points completed in this sprint</t>
  </si>
  <si>
    <t>Q2 Sprint 4</t>
  </si>
  <si>
    <t xml:space="preserve">Team 1 primarily worked on Release 1.1 and 1.2 activities ( thus increasing the rework percentage)
Team 2 also worked on more defects compared to previous sprint leading up to Final Expense Pilot release.
Team 4 worked on more defects as well in this sprint. </t>
  </si>
  <si>
    <t>Q2 Sprint 5</t>
  </si>
  <si>
    <t>Team 1 primarily worked on bugs as part of Release activities ( thus increasing the rework percentage)
Team 2 also worked on more defects compared to previous sprint leading up to Final Expense Pilot release.</t>
  </si>
  <si>
    <t>Q2 Sprint 6</t>
  </si>
  <si>
    <t>SECTION D — First Time Pass Rate- &gt;=95% : Green, &gt;85% : Yellow, &lt;=85% Red</t>
  </si>
  <si>
    <t>First Time Pass Rate = Total Stories with defects/ Total Completed Story Points × 100</t>
  </si>
  <si>
    <t>Total Stories W/O defects</t>
  </si>
  <si>
    <t>Total Stories Delivered</t>
  </si>
  <si>
    <t>First Time Pass %</t>
  </si>
  <si>
    <t>Team 1 has only 51% FTPR in this sprint</t>
  </si>
  <si>
    <t>Team 1 has 75% FTPR. Improvement due to 5 why analysis and mitigation actions, i.e. Additional Code Review and Unit testing Coverage. Team 2,3 &amp; 4 also shown better results</t>
  </si>
  <si>
    <t>Team 2 FTPR was 65% in this sprint, other teams were consistent. 5 Why results awaited.</t>
  </si>
  <si>
    <t>FTPR improved to 79% for team 2, other teams were consistent</t>
  </si>
  <si>
    <t>FTPR was 66% for team 2 and 68% for team 1, other teams were consistent</t>
  </si>
  <si>
    <t>Enforce 5-Why ( Pending For team 1 &amp; 2 from SP2)</t>
  </si>
  <si>
    <t>Team 4 didnt have any defects in this sprint and Team 3 has improved</t>
  </si>
  <si>
    <t>SECTION E — In Sprint Automation</t>
  </si>
  <si>
    <t>Team</t>
  </si>
  <si>
    <t>SprintId</t>
  </si>
  <si>
    <t>TOTAL STORY CARDS</t>
  </si>
  <si>
    <t>Automatable Cards</t>
  </si>
  <si>
    <t>Test Cards Actually Automated</t>
  </si>
  <si>
    <t>Manually executed Cards</t>
  </si>
  <si>
    <t>%Automated</t>
  </si>
  <si>
    <t>Comments</t>
  </si>
  <si>
    <t>Total Bugs</t>
  </si>
  <si>
    <t>Team 1</t>
  </si>
  <si>
    <t>17(7(VAM)+10(Innova))</t>
  </si>
  <si>
    <t>Lack of Bandwidth due to pilot testing, 50% more Sprint cards delivered compared to average velocity</t>
  </si>
  <si>
    <t>Team 2</t>
  </si>
  <si>
    <t>Able to achieve 71% insprint Automation</t>
  </si>
  <si>
    <t>Team 3</t>
  </si>
  <si>
    <t>50% achieved.As discussed with Karthik, release 1.1 related cards were  automated</t>
  </si>
  <si>
    <t>7(2(VAM)+5(Innova))</t>
  </si>
  <si>
    <t>28.57% achieved. As discussed with Karthik, only release 1.1 related cards were  automated</t>
  </si>
  <si>
    <t>Team had about 90%  more story cards allocated than average in this sprint</t>
  </si>
  <si>
    <t>NA</t>
  </si>
  <si>
    <t>Team-1</t>
  </si>
  <si>
    <t>Lack of Bandwidth due to pilot testing , cross product testing,and sprint work</t>
  </si>
  <si>
    <t>Team was occupied with FE Release activities</t>
  </si>
  <si>
    <t>Team was occupied with 1.3 and Enterprise Release activities</t>
  </si>
  <si>
    <t>Worked on regression for FE</t>
  </si>
  <si>
    <t>Team was occupied with 1.4 and Enterprise Release activities</t>
  </si>
  <si>
    <t>SPRINT DATA INPUT — Per Sprint</t>
  </si>
  <si>
    <t>1. Commitment Reliability - Delivery Predictability, Overcommitment vs execution blockers
2. Cycle Time (Median) - How fast value is delivered and Team efficiency</t>
  </si>
  <si>
    <t>SECTION A — Commitment Reliability (&lt;75% - Red; &gt;=75 to &lt;85% - Yellow; &gt;=85% - Green)</t>
  </si>
  <si>
    <t>Stories
Planned</t>
  </si>
  <si>
    <t>Stories Defects
Planned</t>
  </si>
  <si>
    <t>Standalone Bugs
Planned</t>
  </si>
  <si>
    <t>Stories
Completed</t>
  </si>
  <si>
    <t>Story Defects
Completed</t>
  </si>
  <si>
    <t>Standalone Bugs
Completed</t>
  </si>
  <si>
    <r>
      <t xml:space="preserve">Total Planned 
</t>
    </r>
    <r>
      <rPr>
        <b/>
        <sz val="9"/>
        <color rgb="FFFFFFFF"/>
        <rFont val="Arial"/>
        <family val="2"/>
      </rPr>
      <t>(Exclude Story defects)</t>
    </r>
  </si>
  <si>
    <r>
      <t xml:space="preserve">Total Completed 
</t>
    </r>
    <r>
      <rPr>
        <b/>
        <sz val="9"/>
        <color rgb="FFFFFFFF"/>
        <rFont val="Arial"/>
        <family val="2"/>
      </rPr>
      <t>(Exclude Story defects)</t>
    </r>
  </si>
  <si>
    <t>Baseline Velocity</t>
  </si>
  <si>
    <t>Completion %</t>
  </si>
  <si>
    <t>VM Completed Stories</t>
  </si>
  <si>
    <t>VM Standalone Bugs Completed</t>
  </si>
  <si>
    <t>Sprint 7</t>
  </si>
  <si>
    <t>August</t>
  </si>
  <si>
    <t>MONTHLY ROLLUP — Commitment Reliability (Stable, Improving and Declining)</t>
  </si>
  <si>
    <t>Sprints in Month</t>
  </si>
  <si>
    <t>Avg Completion %</t>
  </si>
  <si>
    <t>Monthly CR Status</t>
  </si>
  <si>
    <r>
      <t xml:space="preserve">SECTION B — Cycle Time (Median) - </t>
    </r>
    <r>
      <rPr>
        <b/>
        <sz val="9"/>
        <color rgb="FFFFFFFF"/>
        <rFont val="Arial"/>
        <family val="2"/>
      </rPr>
      <t>Baseline=0% - Green; Baseline &lt;=10% - Yellow; Baseline &gt;10%- Red</t>
    </r>
  </si>
  <si>
    <t>Cycle Time (Development → Testing → Review → Done) = Start Date → Done Date (days). Enter median for the sprint from JIRA</t>
  </si>
  <si>
    <t>Median Cycle
Time (days)</t>
  </si>
  <si>
    <t>Baseline
Cycle Time</t>
  </si>
  <si>
    <t>Δ vs Baseline</t>
  </si>
  <si>
    <t>Δ% vs Baseline</t>
  </si>
  <si>
    <t>CT Status</t>
  </si>
  <si>
    <r>
      <t xml:space="preserve">SECTION B — Development Cycle Time (Median) - </t>
    </r>
    <r>
      <rPr>
        <b/>
        <sz val="9"/>
        <color rgb="FFFFFFFF"/>
        <rFont val="Arial"/>
        <family val="2"/>
      </rPr>
      <t>Baseline=0% - Green; Baseline &lt;=10% - Yellow; Baseline &gt;10%- Red</t>
    </r>
  </si>
  <si>
    <t xml:space="preserve">Cycle Time (Development → Testing) </t>
  </si>
  <si>
    <t>Sprint 13</t>
  </si>
  <si>
    <t>Sprint 14</t>
  </si>
  <si>
    <r>
      <t xml:space="preserve">SECTION B — QA Cycle Time (Median) - </t>
    </r>
    <r>
      <rPr>
        <b/>
        <sz val="9"/>
        <color rgb="FFFFFFFF"/>
        <rFont val="Arial"/>
        <family val="2"/>
      </rPr>
      <t>Baseline=0% - Green; Baseline &lt;=10% - Yellow; Baseline &gt;10%- Red</t>
    </r>
  </si>
  <si>
    <t>Cycle Time (Testing → Acceptance)</t>
  </si>
  <si>
    <t>METRIC DEFINITIONS, FORMULAS &amp; THRESHOLDS — Reference</t>
  </si>
  <si>
    <t>Formula</t>
  </si>
  <si>
    <t>🟡 Green</t>
  </si>
  <si>
    <t>🟡 Yellow</t>
  </si>
  <si>
    <t>🔴 Red</t>
  </si>
  <si>
    <t>Frequency / Notes</t>
  </si>
  <si>
    <t>EAC vs SOW Budget</t>
  </si>
  <si>
    <t>EAC ÷ SOW Budget Target × 100</t>
  </si>
  <si>
    <t>≤ 100%</t>
  </si>
  <si>
    <t>100–105%</t>
  </si>
  <si>
    <t>&gt; 105%</t>
  </si>
  <si>
    <t>Monthly. Top drivers required if Yellow/Red.</t>
  </si>
  <si>
    <t>Monthly Sprint Burn Variance</t>
  </si>
  <si>
    <t>(Actual Spend − Planned Spend) ÷ Planned Spend × 100</t>
  </si>
  <si>
    <t>≤ ±5%</t>
  </si>
  <si>
    <t>±5–10%</t>
  </si>
  <si>
    <t>&gt; ±10%</t>
  </si>
  <si>
    <t>Monthly. Log drivers: rework, delays, scope, staffing.</t>
  </si>
  <si>
    <t>Cost per Story Point — Story Points Delivered</t>
  </si>
  <si>
    <t>Team Cost ($) ÷ Story Points Delivered (Team SP only)</t>
  </si>
  <si>
    <t>Stable or ↓ vs baseline</t>
  </si>
  <si>
    <t>↑ 5–10% vs baseline</t>
  </si>
  <si>
    <t>↑ &gt;10% vs baseline</t>
  </si>
  <si>
    <t>Monthly; rolling 3-month avg for trend. Baseline = first full sprint month.</t>
  </si>
  <si>
    <t>Cost per Story Point — Defects delivered</t>
  </si>
  <si>
    <t>Team Cost ($) ÷ Total SP (Team SP + Defect SP)</t>
  </si>
  <si>
    <t>Monthly; defect work sized and included. Same baseline as Team.</t>
  </si>
  <si>
    <t>Total Completed (Stories+Defects+Bugs) ÷ Total Committed × 100</t>
  </si>
  <si>
    <t>≥ 85%</t>
  </si>
  <si>
    <t>75–84%</t>
  </si>
  <si>
    <t>&lt; 75%</t>
  </si>
  <si>
    <t xml:space="preserve">Per sprint + monthly rollup + 3-sprint trend. </t>
  </si>
  <si>
    <t>Median(Done Date − In-Progress) across all cards in period</t>
  </si>
  <si>
    <t>↑ up to 10% vs baseline</t>
  </si>
  <si>
    <t>↑ &gt; 10% vs baseline</t>
  </si>
  <si>
    <t>Per sprint + monthly rollup + 3-sprint trend. Start = first In Progress.</t>
  </si>
  <si>
    <t>Production Defect Leakage (Severity-Weighted)</t>
  </si>
  <si>
    <t>Total Prod Defects ÷ All Pre-Prod Defects × 100</t>
  </si>
  <si>
    <t>≤ 10%</t>
  </si>
  <si>
    <t>11–15%</t>
  </si>
  <si>
    <t>&gt; 15%</t>
  </si>
  <si>
    <t>Monthly + per release/feature. Measured post-deployment.</t>
  </si>
  <si>
    <t>(Story and Standalone Bug Fix Effort ÷ Total Points Delivered) × 100</t>
  </si>
  <si>
    <t>≤ 20%</t>
  </si>
  <si>
    <t>21–30%</t>
  </si>
  <si>
    <t>&gt; 30%</t>
  </si>
  <si>
    <t xml:space="preserve">Monthly with rolling trend. </t>
  </si>
  <si>
    <t>(Stories Completed w/o any defects ÷ Total stories delivered) × 100</t>
  </si>
  <si>
    <t>≥ 95%</t>
  </si>
  <si>
    <t>≥  85%</t>
  </si>
  <si>
    <t>&lt; 85%</t>
  </si>
  <si>
    <t>KEY ASSUMPTIONS &amp; NOTES</t>
  </si>
  <si>
    <t>Baseline setting</t>
  </si>
  <si>
    <t>Set the Cost/SP and Cycle Time baselines ONCE in the yellow-highlighted cells on first use. These persist as the reference for all RAG calculations.</t>
  </si>
  <si>
    <t>Defect sizing</t>
  </si>
  <si>
    <t>Defects must be estimated in story points BEFORE the sprint to be included in Cost/SP program calculation and sprint commitment.</t>
  </si>
  <si>
    <t>Severity weighting</t>
  </si>
  <si>
    <t>Use weights in Quality sheet if we decide to use them for severity scales.</t>
  </si>
  <si>
    <t>Rework Effort</t>
  </si>
  <si>
    <t>Capture Story Defects and Standalone Bug Fix Points/counts  ÷ Total Story Points in JIRA tool for accurate Rework Ratio.</t>
  </si>
  <si>
    <t>Cycle time source</t>
  </si>
  <si>
    <t>Pull median cycle time from JIRA (Control Charts). Exclude blocked time if used for any reason</t>
  </si>
  <si>
    <t>Team Wise Sprint Input</t>
  </si>
  <si>
    <t>Sprint Start Date</t>
  </si>
  <si>
    <t>Sprint End Date</t>
  </si>
  <si>
    <t>Sprint Defects
Planned</t>
  </si>
  <si>
    <t>Total Planned</t>
  </si>
  <si>
    <t>Lot of cards spilled over to pending testing and defects</t>
  </si>
  <si>
    <t>All testing pending cards due to CSEI-11111 defect .Net Update Status Types testing was blocked. Save Token for Org Blocked due to CoreSuite not available with the functionality.
COA tiles cards testing was blocked due to Experience Team misconfigured files in .net</t>
  </si>
  <si>
    <t>Team 4</t>
  </si>
  <si>
    <t>Few are CIM related cards and few are reports which are still in analysis phase</t>
  </si>
  <si>
    <t>Due to CSEI-11111 defect .Net Update Status Types testing was blocked
CSEI-10456 defect blocked few mendix cards for organization tokenid
Payment Center .Net cards were blocked due to Policy Inquiry API schema mismatch for PreActive
OneTime GuestPayment - New Work in Payment Centerweb, MDM - Policy Status issues identified at last moment</t>
  </si>
  <si>
    <t>Spill over mostly data suit reports</t>
  </si>
  <si>
    <t>Due to testing spillover and review pending</t>
  </si>
  <si>
    <t>Due to CSEI-11111 defect .Net Update Status Types testing was blocked.</t>
  </si>
  <si>
    <t>Integration cards were spilled due to dependency on CSEI-7531. still not delivered
Bene related mendix cards are spilled due to integration card dependency which are planned in SP5</t>
  </si>
  <si>
    <t>Data suite Report cards and cards related for Fund file are spilled over due to pending requirement</t>
  </si>
  <si>
    <t xml:space="preserve">BRP for multiple days. Reinstatement and conversion which are less priority cards are spilled over. </t>
  </si>
  <si>
    <t>Cards are spilled over due to Status not getting updated</t>
  </si>
  <si>
    <t>BRP was there for 2 days. Team had tempus issues multiple times so 3 defects belong to it. Status cards are blocked due to CoreSuite issues. Token ID, RNID company cards defects are fixed at the end of the sprint by Team 1.</t>
  </si>
  <si>
    <t xml:space="preserve">most of the defects were related to forms </t>
  </si>
  <si>
    <t>Team worked on more defects leading up to Final Expense Pilot release</t>
  </si>
  <si>
    <t>Majorly worked on Release 1.1 and 1.2 activities</t>
  </si>
  <si>
    <t>Mendix cards are blocked due to 1125 UWPro Notes issues, Integration card are blocked, 
simulate premium doesnt suffice requirements</t>
  </si>
  <si>
    <t>Team worked on more defects in this sprint. File Integration cards had 1 issues ,also 2 issues with external team (CIM team) . File integration
 cards spilled over due to time taken in analysis and coordination</t>
  </si>
  <si>
    <t>Team worked on more bugs when compared to previous sprints as part of recent releases hance the rework ratio increases</t>
  </si>
  <si>
    <t>Team 3 QA is testing priority cards for FE portals and other cards are spilled over. Print cards are spilled over due to A&amp;D</t>
  </si>
  <si>
    <t>Reports related cards are spilled over</t>
  </si>
  <si>
    <t>Stories Completed</t>
  </si>
  <si>
    <t>Story Defects Completed</t>
  </si>
  <si>
    <t>Standalone Bugs Completed</t>
  </si>
  <si>
    <t>Total Developers</t>
  </si>
  <si>
    <t>BA to Dev</t>
  </si>
  <si>
    <t>Median Cycle
Time (days) - Dev to Test</t>
  </si>
  <si>
    <t>Median Cycle
Time (days) - Test to Acceptance</t>
  </si>
  <si>
    <t>Median Cycle
Time (days) - Acceptance to Done</t>
  </si>
  <si>
    <t>0.1 days</t>
  </si>
  <si>
    <t>2.23 days</t>
  </si>
  <si>
    <t>1.2 days</t>
  </si>
  <si>
    <t>2.5 days</t>
  </si>
  <si>
    <t>6 days</t>
  </si>
  <si>
    <t>6.1 days</t>
  </si>
  <si>
    <t>5.1 days</t>
  </si>
  <si>
    <t>1.1 days</t>
  </si>
  <si>
    <t>7.15 days</t>
  </si>
  <si>
    <t>7.5 days</t>
  </si>
  <si>
    <t>2.1 days</t>
  </si>
  <si>
    <t>7.2 days</t>
  </si>
  <si>
    <t>3.22 days</t>
  </si>
  <si>
    <t>2.3 days</t>
  </si>
  <si>
    <t>1.7 days</t>
  </si>
  <si>
    <t>9.17 days</t>
  </si>
  <si>
    <t>Total Stories Completed</t>
  </si>
  <si>
    <t>Total Stories Completed with Defects</t>
  </si>
  <si>
    <t>Total Stories Completed w/o any Defects</t>
  </si>
  <si>
    <t>Stories number having defects (1 or more)</t>
  </si>
  <si>
    <t>3</t>
  </si>
  <si>
    <t>LIFE-21009,LIFE-21019,LIFE-24870</t>
  </si>
  <si>
    <t>LIFE-26359,LIFE-26114,LIFE-25622,LIFE-24871</t>
  </si>
  <si>
    <t>LIFE-26840,LIFE-25711</t>
  </si>
  <si>
    <t>LIFE-26564</t>
  </si>
  <si>
    <t>LIFE-17329,LIFE-17374,LIFE-17449,LIFE-21003,LIFE-21021,LIFE-21998,LIFE-24407,LIFE-25566,LIFE-25612,LIFE-26159,</t>
  </si>
  <si>
    <t>LIFE-25829,LIFE-25840,LIFE-26259</t>
  </si>
  <si>
    <t>LIFE-22140</t>
  </si>
  <si>
    <t>LIFE-6512,LIFE-8983,LIFE-21016,LIFE-21011,LIFE-22466,LIFE-23241,LIFE-23687,LIFE-23719,LIFE-23740,LIFE-23765,LIFE-23914,LIFE-23921,LIFE-24028,LIFE-24077</t>
  </si>
  <si>
    <t>LIFE-27961,LIFE-27233,LIFE-25859,LIFE-25082,LIFE-25078,LIFE-24556,LIFE-24343,LIFE-24078</t>
  </si>
  <si>
    <t> </t>
  </si>
  <si>
    <t>LIFE-26649</t>
  </si>
  <si>
    <t>LIFE-26681,LIFE-25824, LIFE-25119, LIFE-6757</t>
  </si>
  <si>
    <t>LIFE-26125, LIFE-25549, LIFE-24988</t>
  </si>
  <si>
    <t>LIFE-25820,LIFE-22849,LIFE-22848</t>
  </si>
  <si>
    <t>LIFE-26956,LIFE-27035,LIFE-24719,LIFE-26957,LIFE-28229,LIFE-26764,LIFE-19690,LIFE-18830,LIFE-27096,LIFE-26958,LIFE-26765,LIFE-26756,LIFE-26763,LIFE-15809,LIFE-26767,LIFE-28532,LIFE-15801</t>
  </si>
  <si>
    <t>LIFE-26869,LIFE-6861</t>
  </si>
  <si>
    <t>LIFE-28965,LIFE-27172</t>
  </si>
  <si>
    <t>LIFE-24349,LIFE-24345,LIFE-6758</t>
  </si>
  <si>
    <t>LIFE-29960,LIFE-29957,LIFE-29952,LIFE-28976,LIFE-26957,LIFE-19690</t>
  </si>
  <si>
    <t>LIFE-31123,LIFE-30286,LIFE-27867,LIFE-26040,LIFE-25822,LIFE-25113,LIFE-24734,LIFE-24361</t>
  </si>
  <si>
    <t>LIFE-29958,LIFE-29956,LIFE-29954,LIFE-29504,LIFE-29499,LIFE-29497,LIFE-28320,LIFE-28314,LIFE-26956,LIFE-26555,LIFE-26119,LIFE-23970</t>
  </si>
  <si>
    <t>LIFE-20339</t>
  </si>
  <si>
    <t>LIFE-25776,LIFE-22847,LIFE-19604</t>
  </si>
  <si>
    <t>LIFE-29941,LIFE-27038,LIFE-25022,LIFE-24997,LIFE-17126</t>
  </si>
  <si>
    <t>LIFE-31334</t>
  </si>
  <si>
    <t>Backlog Summary</t>
  </si>
  <si>
    <t>EPIC</t>
  </si>
  <si>
    <t>Release</t>
  </si>
  <si>
    <t>Feature</t>
  </si>
  <si>
    <t>Total Stories</t>
  </si>
  <si>
    <t>Total Story Points</t>
  </si>
  <si>
    <t>Groomed</t>
  </si>
  <si>
    <t>Spike</t>
  </si>
  <si>
    <t>Prod-199</t>
  </si>
  <si>
    <t>Monthly burn variance shows how we performed financially this month, while Estimate at Completion shows where we are projected to land financially at the end of the program.</t>
  </si>
  <si>
    <t>EAC = Money already spent
      + Forecast remaining cost</t>
  </si>
  <si>
    <t>Example
Item Amount
Spent so far $2.5M
Remaining forecast $2.8M
EAC $5.3M</t>
  </si>
  <si>
    <t>Usually caused by:
rework
poor estimation
scope creep
low productivity</t>
  </si>
  <si>
    <t>EAC tells leadership:
✅ Is the vendor financially under control?
✅ Will we overspend before project ends?
✅ Are estimates realistic?
✅ Is scope or rework increasing cost?
It is a forward-looking health indicator.</t>
  </si>
  <si>
    <t>Metrics</t>
  </si>
  <si>
    <t>Inputs</t>
  </si>
  <si>
    <t>ETC</t>
  </si>
  <si>
    <t>Refined backlog for next 1 quarter</t>
  </si>
  <si>
    <t xml:space="preserve">Cost per SP </t>
  </si>
  <si>
    <t xml:space="preserve">How to calculate cost for ERIE and Innova for overall ETC and cost per sprint/point </t>
  </si>
  <si>
    <t>Rework effort</t>
  </si>
  <si>
    <t>Assign points/complexity to defect to determine ave rework effort</t>
  </si>
  <si>
    <t>Establish baseline from JIRA for SP1, SP2 etc</t>
  </si>
  <si>
    <t>Monthly Cost Variance</t>
  </si>
  <si>
    <t>Category</t>
  </si>
  <si>
    <t>Rework</t>
  </si>
  <si>
    <t>Depedency Delay</t>
  </si>
  <si>
    <t>Scope Changes</t>
  </si>
  <si>
    <t>Staffing</t>
  </si>
  <si>
    <t>Date</t>
  </si>
  <si>
    <t>Details</t>
  </si>
  <si>
    <t>Updates</t>
  </si>
  <si>
    <t>Owner</t>
  </si>
  <si>
    <t>ETA</t>
  </si>
  <si>
    <t>Improvement</t>
  </si>
  <si>
    <t>QA team cross skilling across all the sprint teams</t>
  </si>
  <si>
    <t>QA team got trained in Illustration/Premium/Pricing Testing/Uwpro/Downstream Batch processing/Billing and other relevant topics</t>
  </si>
  <si>
    <t>Complete the Applitool Scripts for automatic regression of the forms</t>
  </si>
  <si>
    <t>14 Scripts are prepared and run to support the Release 1.1</t>
  </si>
  <si>
    <t>Ashish/Veera/Ananth</t>
  </si>
  <si>
    <t>Completed</t>
  </si>
  <si>
    <t>Implement a formal and manually gated print code review process</t>
  </si>
  <si>
    <t>Nowsheen is leading the Print code review with support from Melinda and CK.</t>
  </si>
  <si>
    <t>Nowsheen</t>
  </si>
  <si>
    <t>Plan for In-Sprint automation for missed story cards from past sprints - Team 1 and Team 3 for Release 1.1</t>
  </si>
  <si>
    <t>Team 1 (2 Hours)
LIFE-28764 - LifeWeb - Other Insurance and Replacement Screen - 1st Question Displayed Incorrectly
LIFE-28410- Other Insurance and Replacement Screen - New Question
Team 3 (2 hours)
LIFE-27290- Taxonomy Changes - EFL Money to EFL Billing</t>
  </si>
  <si>
    <t>Manish/Arun/Karthik/Joy</t>
  </si>
  <si>
    <t>First time pass rate has been consistently low specially for team 1 and team 2.</t>
  </si>
  <si>
    <t>Need to strengthen the process - pre-amigo, smaller story cards etc. this will be an ongoing activity unless we see improve FTPR to 95%</t>
  </si>
  <si>
    <t>Karthik/Melinda/Abhijit</t>
  </si>
  <si>
    <t>WIP</t>
  </si>
  <si>
    <t xml:space="preserve">Provided 212 UAT policies (60 policies premium testing, 60 policies commission, 65 policies Dade pay testing, 12 portal testing, 15 forms content validation testing) to business team so far that would have taken at least 70 hours (20 mins/per policy) </t>
  </si>
  <si>
    <t>Ongoing</t>
  </si>
  <si>
    <t>Decision</t>
  </si>
  <si>
    <t>Pavan Bhubathiraju ( Integration Developer) Role Closure</t>
  </si>
  <si>
    <t>Pavan has worked only on couple of cards in last few sprints. He is also aspiring to move onto other areas of work. We believe he is not being fully utilized and the role can be closed</t>
  </si>
  <si>
    <t>Joy/Nick</t>
  </si>
  <si>
    <t>Progressing with the agreed Addendum</t>
  </si>
  <si>
    <t>Its discussed and shared over email</t>
  </si>
  <si>
    <t>Joy</t>
  </si>
  <si>
    <t>Approval to have Sandip Banala as Vaishnavi's replacement as Sadhu Dharani as Mendix buffer in the team</t>
  </si>
  <si>
    <t>Vaishnavi has resigned last week</t>
  </si>
  <si>
    <t>Need a decision on Shivani Yandra's billability - she was supposed to replacement for Sushanth Merugu and join team 1. SVP Approval pending since 4/27</t>
  </si>
  <si>
    <t>Chrystal following up with Joy</t>
  </si>
  <si>
    <t>Joy/Nick/Subrata</t>
  </si>
  <si>
    <t>Raja, Bharat and Subbu are planned to be released by 6/28 per SOW. With full rollout moving to June and we expect some enhancement post rollout so do we expect to extend their contract? We may have to extend it until Q3 for Subbu/Bharat and end of year for Raja?</t>
  </si>
  <si>
    <t>Subbu can be roll off. 6/24 Final Expense, 6/18 Reinstatement, 6/4 Wholelife, 7/16 - Misc, Conversion - Tentative Sept. 
Karthik/Joy to connect and come back for Bharat by 5/22. 
Raja to keep it until end of Sept.</t>
  </si>
  <si>
    <t>Joy/Karthik</t>
  </si>
  <si>
    <t>Open</t>
  </si>
  <si>
    <t>Improve collaboration and partnership with Sapiens team. Avoid escalation unless absolutely necessary. Document has been put in place</t>
  </si>
  <si>
    <r>
      <t xml:space="preserve">Joy informed Brian that QA will put note in Sapiens Defect if anything is missing to avoid any concern. 
All QA's are part of Sapiens call. 
Pending Item - </t>
    </r>
    <r>
      <rPr>
        <b/>
        <sz val="11"/>
        <color theme="1"/>
        <rFont val="Calibri"/>
        <family val="2"/>
      </rPr>
      <t>File testing is in progress so learning curve will be there while running new batches.</t>
    </r>
  </si>
  <si>
    <t>Nick/Joy</t>
  </si>
  <si>
    <t>Closed</t>
  </si>
  <si>
    <t>Moving code to Test PS for term as most of the term work was completed to continue with downstream validation because of active development in Test A for whole life/re-instatement and uncovering unexpected blockers</t>
  </si>
  <si>
    <t>Term code moved to Test PS</t>
  </si>
  <si>
    <t>Melinda/Karthik/Joy</t>
  </si>
  <si>
    <t xml:space="preserve">Team 1 assign story points to standalone defects to determine the effort but other teams don’t follow this and keep 0 points. We need alignment and determine the consistent approach across teams </t>
  </si>
  <si>
    <t>Joy will work with all Scrum Masters on this</t>
  </si>
  <si>
    <t>Should team look at baseline velocity vs total points planned for Sprint Commitment?</t>
  </si>
  <si>
    <t>Team aligned to use baseline velocity for sprint commitment</t>
  </si>
  <si>
    <t>Risk</t>
  </si>
  <si>
    <t>Down times due to and following Sapiens Deployment are impacting hours of Testing Window ( e.g., 5/27, 5/29, 6/1)</t>
  </si>
  <si>
    <t>Enforce a more robust smoke testing and shorter deployment window for Sapiens</t>
  </si>
  <si>
    <t>Corey/Joy</t>
  </si>
  <si>
    <t>The bi-weekly release cycle since term pilot is creating conflicting capacity prioritization between in-sprint work ( Full roll-out,whole life , reinstatement etc),
Defect retests for release cycles, whole life E2E plan, E2E execution and regression cycles for the release &amp; UAT support and in sprint automation effort. This can potentially slow down the progress to whole life and full-roll out</t>
  </si>
  <si>
    <t>Team assessing the possibility of bringing in more automation in regression. Also discuss the risk with Erie Leadership 
for possible options and approaches</t>
  </si>
  <si>
    <t>Arun/Karthik/Joy/Nick</t>
  </si>
  <si>
    <t>TBD</t>
  </si>
  <si>
    <t>Frequently different versions of CoreSuite codes between Test and Prod and even within Test environment through different periods of 
Testing due to the weekly release schedule potentially blocking or slowing down the Regression activities and reducing the integrity of the testing</t>
  </si>
  <si>
    <t>Corey is working with Sapiens on the release roadmap</t>
  </si>
  <si>
    <t>Corey/Karthik</t>
  </si>
  <si>
    <t xml:space="preserve">Downstream testing, file testing, and PHS testing are at risk due to automated batches not yet enabled in TestPS </t>
  </si>
  <si>
    <t>Meeting is being setup with PPS to automate batches at the earliest</t>
  </si>
  <si>
    <t>Corey/Manish</t>
  </si>
  <si>
    <t xml:space="preserve">known Risk - Whole life Sapiens cards/defects are planned for 4/20 (Sprint 12) release putting risk for pilot. </t>
  </si>
  <si>
    <t>Team decided to move forward with Term only for pilot so we are good</t>
  </si>
  <si>
    <t>Known Risk - About 25+ interface files to be validated part of E2E - File development (3 CRs + Infogix) pending with Sapiens needed for pilot and rest files need to be tested/validated by business</t>
  </si>
  <si>
    <t xml:space="preserve">Corey is setting up time with business/QA for working session for pending validation files and Joy following up with Sapiens for the update </t>
  </si>
  <si>
    <t>Joy/Corey/Manish/Karthik</t>
  </si>
  <si>
    <t>Unexpected downtime impacting E2E testing (Sapiens, UWPro, Tempus etc) being tracked and actions are being taken</t>
  </si>
  <si>
    <t>This will be ongoing tracking to notice any unplanned outage and take actions</t>
  </si>
  <si>
    <t>Manish/Karthik/Melinda/Arun</t>
  </si>
  <si>
    <t>Automation Handbook drafting is in progress</t>
  </si>
  <si>
    <t>keeping the completion date as 4/17 to include API part and code movement/branching/approval process</t>
  </si>
  <si>
    <t>Ashish/Bharat/Karthik</t>
  </si>
  <si>
    <t>Started 5 why analysis to reduce the rework ratio for SP6 defects. Expecting the action to be taken that helps to reduce the rework effort</t>
  </si>
  <si>
    <t>Karthik/Melinda/Manish/Arun</t>
  </si>
  <si>
    <t>Working with Melinda to generate data models (Logical/Physical) for AWS purge project</t>
  </si>
  <si>
    <t>Initial results are shared with Manoj. Review and refinement may be needed after the review.</t>
  </si>
  <si>
    <t>Melinda/Manoj</t>
  </si>
  <si>
    <t xml:space="preserve">Both UI and API smoke/regression suites are scheduled daily (Test A/Test PS) to track and reason for failure  </t>
  </si>
  <si>
    <t>Ashish/Bharat</t>
  </si>
  <si>
    <t>Improvement in Automation code quality and stability as team updated the code to the new framework version and fixed the issues.</t>
  </si>
  <si>
    <t>Ashish</t>
  </si>
  <si>
    <t>Improving quality by enabling gated (30%) pipeline for Test A/PS</t>
  </si>
  <si>
    <t>Seeing about 60% pass rate past few build in TestPS.</t>
  </si>
  <si>
    <t>Karthik/Ashish/Melinda/Mateen</t>
  </si>
  <si>
    <t>QA Team completed ChatGPT pilot for test case design with Team 2 with the help of Karthik and noticed 30% estimated design savings.</t>
  </si>
  <si>
    <t>Implementation is in progress for Team 2 story cards to see the efficiency and saving at scale</t>
  </si>
  <si>
    <t>Manish/Arun/Karthik</t>
  </si>
  <si>
    <t>Daily testing report involve lot of manual effort, prone to error. Looking for semi-automate the report in JIRA</t>
  </si>
  <si>
    <t>Planned for Release 1.1</t>
  </si>
  <si>
    <t>Purush</t>
  </si>
  <si>
    <t>Explore and plan ahead on tentative card delivery dates across teams by Developers to avoid spillover</t>
  </si>
  <si>
    <t>Melinda/Joy</t>
  </si>
  <si>
    <t>Strong overlap between Onsite and Offshore served us well in the winter, many supported late EST afternoon for direct interaction with ERIE</t>
  </si>
  <si>
    <t>Arunava/Manish</t>
  </si>
  <si>
    <t>Frequent connect is in place with ERIE leads (Abhishek, Karthik, Melinda, Abhijit) for concern, feedback and improvement</t>
  </si>
  <si>
    <t>Manish/Arun</t>
  </si>
  <si>
    <t>Problem</t>
  </si>
  <si>
    <t>Impact</t>
  </si>
  <si>
    <t>Urgency</t>
  </si>
  <si>
    <t>Priority</t>
  </si>
  <si>
    <t>Description</t>
  </si>
  <si>
    <t>Root cause</t>
  </si>
  <si>
    <t>Action Item</t>
  </si>
  <si>
    <t>March'26</t>
  </si>
  <si>
    <t>PRB0068481</t>
  </si>
  <si>
    <t>Low</t>
  </si>
  <si>
    <t>Medium</t>
  </si>
  <si>
    <t>4-Low</t>
  </si>
  <si>
    <t>Inflight scenarios failed in Prod</t>
  </si>
  <si>
    <t>code fix was made to conversion which had impact to new business flow but impact analysis was not done so inflight NB scenarios were not re-executed</t>
  </si>
  <si>
    <t>Developer/QA work together end of testing, review defects, perform impact analysis and plan the manual regression along with automated regression</t>
  </si>
  <si>
    <t>PRB0068596</t>
  </si>
  <si>
    <t>5-Planning</t>
  </si>
  <si>
    <t>non-life agent able to issue EEL policy</t>
  </si>
  <si>
    <t>Service change (MDM to ASR) - Code was copied from TUW but didn’t have unit test cases covered and understanding of the scope/code</t>
  </si>
  <si>
    <t>Non-life agent testing will be added part of regression for every release</t>
  </si>
  <si>
    <t>PRB0068645</t>
  </si>
  <si>
    <t>Error for Life License (Recent release issue to update a constant missed)</t>
  </si>
  <si>
    <t>MDM pointing to Stage instead of prod (constant/env change) but was not added in the dev checklist</t>
  </si>
  <si>
    <t>Please refer to the Quality tab post March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</si>
</sst>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
    <numFmt numFmtId="165" formatCode="0.0%"/>
    <numFmt numFmtId="166" formatCode="0.0&quot; days&quot;"/>
    <numFmt numFmtId="167" formatCode="#,##0.0"/>
    <numFmt numFmtId="168" formatCode="&quot;$&quot;#,##0"/>
  </numFmts>
  <fonts count="36">
    <font>
      <sz val="11"/>
      <color theme="1"/>
      <name val="Calibri"/>
      <family val="2"/>
      <charset val="1"/>
    </font>
    <font>
      <b/>
      <sz val="14"/>
      <color rgb="FFFFFFFF"/>
      <name val="Arial"/>
      <family val="2"/>
    </font>
    <font>
      <b/>
      <sz val="10"/>
      <color rgb="FF1E2761"/>
      <name val="Arial"/>
      <family val="2"/>
    </font>
    <font>
      <sz val="10"/>
      <color rgb="FF000000"/>
      <name val="Arial"/>
      <family val="2"/>
    </font>
    <font>
      <sz val="10"/>
      <color rgb="FF64748B"/>
      <name val="Arial"/>
      <family val="2"/>
    </font>
    <font>
      <b/>
      <sz val="13"/>
      <color rgb="FFFFFFFF"/>
      <name val="Arial"/>
      <family val="2"/>
    </font>
    <font>
      <i/>
      <sz val="8"/>
      <color rgb="FF64748B"/>
      <name val="Arial"/>
      <family val="2"/>
    </font>
    <font>
      <b/>
      <sz val="11"/>
      <color rgb="FFFFFFFF"/>
      <name val="Arial"/>
      <family val="2"/>
    </font>
    <font>
      <b/>
      <sz val="10"/>
      <color rgb="FFFFFFFF"/>
      <name val="Arial"/>
      <family val="2"/>
    </font>
    <font>
      <b/>
      <sz val="9"/>
      <color rgb="FF000000"/>
      <name val="Arial"/>
      <family val="2"/>
    </font>
    <font>
      <sz val="10"/>
      <color rgb="FF0000FF"/>
      <name val="Arial"/>
      <family val="2"/>
    </font>
    <font>
      <sz val="10"/>
      <color rgb="FF008000"/>
      <name val="Arial"/>
      <family val="2"/>
    </font>
    <font>
      <b/>
      <sz val="9"/>
      <color rgb="FF1E2761"/>
      <name val="Arial"/>
      <family val="2"/>
    </font>
    <font>
      <b/>
      <sz val="10"/>
      <color rgb="FF000000"/>
      <name val="Arial"/>
      <family val="2"/>
    </font>
    <font>
      <sz val="9"/>
      <color rgb="FF64748B"/>
      <name val="Arial"/>
      <family val="2"/>
    </font>
    <font>
      <i/>
      <sz val="9"/>
      <color rgb="FF64748B"/>
      <name val="Arial"/>
      <family val="2"/>
    </font>
    <font>
      <sz val="9"/>
      <color rgb="FF1E293B"/>
      <name val="Arial"/>
      <family val="2"/>
    </font>
    <font>
      <b/>
      <sz val="9"/>
      <color rgb="FFFFFFFF"/>
      <name val="Arial"/>
      <family val="2"/>
    </font>
    <font>
      <sz val="9"/>
      <color rgb="FF000000"/>
      <name val="Arial"/>
      <family val="2"/>
    </font>
    <font>
      <b/>
      <i/>
      <sz val="8"/>
      <color rgb="FF64748B"/>
      <name val="Arial"/>
      <family val="2"/>
    </font>
    <font>
      <b/>
      <i/>
      <sz val="9"/>
      <color rgb="FF64748B"/>
      <name val="Arial"/>
      <family val="2"/>
    </font>
    <font>
      <b/>
      <i/>
      <sz val="10"/>
      <color rgb="FF64748B"/>
      <name val="Arial"/>
      <family val="2"/>
    </font>
    <font>
      <sz val="10"/>
      <name val="Arial"/>
      <family val="2"/>
    </font>
    <font>
      <sz val="9"/>
      <color rgb="FFFF0000"/>
      <name val="Calibri"/>
      <family val="2"/>
      <charset val="1"/>
    </font>
    <font>
      <b/>
      <sz val="10"/>
      <color theme="9"/>
      <name val="Arial"/>
      <family val="2"/>
    </font>
    <font>
      <sz val="10"/>
      <color theme="4"/>
      <name val="Arial"/>
      <family val="2"/>
    </font>
    <font>
      <b/>
      <sz val="11"/>
      <color theme="1"/>
      <name val="Calibri"/>
      <family val="2"/>
    </font>
    <font>
      <sz val="11"/>
      <color rgb="FF000000"/>
      <name val="Calibri"/>
      <family val="2"/>
      <charset val="1"/>
    </font>
    <font>
      <b/>
      <sz val="10"/>
      <color rgb="FFFFC000"/>
      <name val="Arial"/>
      <family val="2"/>
    </font>
    <font>
      <b/>
      <sz val="10"/>
      <color theme="9" tint="-0.249977111117893"/>
      <name val="Arial"/>
      <family val="2"/>
    </font>
    <font>
      <b/>
      <sz val="12"/>
      <name val="Calibri"/>
      <family val="2"/>
    </font>
    <font>
      <sz val="11"/>
      <color theme="1"/>
      <name val="Calibri"/>
      <family val="2"/>
      <charset val="1"/>
    </font>
    <font>
      <b/>
      <sz val="11"/>
      <color rgb="FF000000"/>
      <name val="Aptos Narrow"/>
      <family val="2"/>
    </font>
    <font>
      <sz val="11"/>
      <color rgb="FF000000"/>
      <name val="Aptos Narrow"/>
      <family val="2"/>
    </font>
    <font>
      <sz val="11"/>
      <color theme="0"/>
      <name val="Calibri"/>
      <family val="2"/>
      <charset val="1"/>
    </font>
    <font>
      <sz val="11"/>
      <color theme="1"/>
      <name val="Calibri"/>
      <family val="2"/>
    </font>
  </fonts>
  <fills count="20">
    <fill>
      <patternFill patternType="none"/>
    </fill>
    <fill>
      <patternFill patternType="gray125"/>
    </fill>
    <fill>
      <patternFill patternType="solid">
        <fgColor rgb="FF1E2761"/>
        <bgColor rgb="FF1E293B"/>
      </patternFill>
    </fill>
    <fill>
      <patternFill patternType="solid">
        <fgColor rgb="FFEFF6FF"/>
        <bgColor rgb="FFF5F7FF"/>
      </patternFill>
    </fill>
    <fill>
      <patternFill patternType="solid">
        <fgColor rgb="FFF5F7FF"/>
        <bgColor rgb="FFEFF6FF"/>
      </patternFill>
    </fill>
    <fill>
      <patternFill patternType="solid">
        <fgColor rgb="FFFEFCE8"/>
        <bgColor rgb="FFFFFFFF"/>
      </patternFill>
    </fill>
    <fill>
      <patternFill patternType="solid">
        <fgColor rgb="FFCADCFC"/>
        <bgColor rgb="FFCBD5E1"/>
      </patternFill>
    </fill>
    <fill>
      <patternFill patternType="solid">
        <fgColor rgb="FFFFFFFF"/>
        <bgColor rgb="FFFEFCE8"/>
      </patternFill>
    </fill>
    <fill>
      <patternFill patternType="solid">
        <fgColor rgb="FF16A34A"/>
        <bgColor rgb="FF008080"/>
      </patternFill>
    </fill>
    <fill>
      <patternFill patternType="solid">
        <fgColor rgb="FFCA8A04"/>
        <bgColor rgb="FFFF6600"/>
      </patternFill>
    </fill>
    <fill>
      <patternFill patternType="solid">
        <fgColor rgb="FFDC2626"/>
        <bgColor rgb="FF993300"/>
      </patternFill>
    </fill>
    <fill>
      <patternFill patternType="solid">
        <fgColor rgb="FF1E293B"/>
        <bgColor rgb="FF1E2761"/>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9" tint="0.79998168889431442"/>
        <bgColor rgb="FFEFF6FF"/>
      </patternFill>
    </fill>
    <fill>
      <patternFill patternType="solid">
        <fgColor theme="3"/>
        <bgColor indexed="64"/>
      </patternFill>
    </fill>
    <fill>
      <patternFill patternType="solid">
        <fgColor theme="4" tint="0.79998168889431442"/>
        <bgColor indexed="64"/>
      </patternFill>
    </fill>
  </fills>
  <borders count="36">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top/>
      <bottom style="thin">
        <color rgb="FFCBD5E1"/>
      </bottom>
      <diagonal/>
    </border>
    <border>
      <left style="thin">
        <color indexed="64"/>
      </left>
      <right style="thin">
        <color indexed="64"/>
      </right>
      <top style="thin">
        <color indexed="64"/>
      </top>
      <bottom style="thin">
        <color indexed="64"/>
      </bottom>
      <diagonal/>
    </border>
    <border>
      <left style="thin">
        <color rgb="FFCBD5E1"/>
      </left>
      <right style="thin">
        <color rgb="FFCBD5E1"/>
      </right>
      <top/>
      <bottom style="thin">
        <color rgb="FFCBD5E1"/>
      </bottom>
      <diagonal/>
    </border>
    <border>
      <left/>
      <right/>
      <top style="thin">
        <color rgb="FFCBD5E1"/>
      </top>
      <bottom style="thin">
        <color rgb="FFCBD5E1"/>
      </bottom>
      <diagonal/>
    </border>
    <border>
      <left/>
      <right style="thin">
        <color rgb="FFCBD5E1"/>
      </right>
      <top/>
      <bottom style="thin">
        <color rgb="FFCBD5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BD5E1"/>
      </left>
      <right style="thin">
        <color rgb="FFCBD5E1"/>
      </right>
      <top/>
      <bottom/>
      <diagonal/>
    </border>
    <border>
      <left/>
      <right style="thin">
        <color rgb="FFCBD5E1"/>
      </right>
      <top style="thin">
        <color rgb="FFCBD5E1"/>
      </top>
      <bottom style="thin">
        <color rgb="FFCBD5E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diagonal/>
    </border>
    <border>
      <left/>
      <right style="thin">
        <color indexed="64"/>
      </right>
      <top/>
      <bottom style="thin">
        <color indexed="64"/>
      </bottom>
      <diagonal/>
    </border>
    <border>
      <left style="thin">
        <color rgb="FFCBD5E1"/>
      </left>
      <right style="thin">
        <color rgb="FFCBD5E1"/>
      </right>
      <top style="thin">
        <color rgb="FFCBD5E1"/>
      </top>
      <bottom/>
      <diagonal/>
    </border>
    <border>
      <left style="thin">
        <color rgb="FFCBD5E1"/>
      </left>
      <right/>
      <top style="thin">
        <color rgb="FFCBD5E1"/>
      </top>
      <bottom/>
      <diagonal/>
    </border>
    <border>
      <left style="thin">
        <color indexed="64"/>
      </left>
      <right style="thin">
        <color indexed="64"/>
      </right>
      <top style="thin">
        <color indexed="64"/>
      </top>
      <bottom/>
      <diagonal/>
    </border>
    <border>
      <left/>
      <right/>
      <top style="thin">
        <color rgb="FFCBD5E1"/>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9" fontId="31" fillId="0" borderId="0" applyFont="0" applyFill="0" applyBorder="0" applyAlignment="0" applyProtection="0"/>
  </cellStyleXfs>
  <cellXfs count="276">
    <xf numFmtId="0" fontId="0" fillId="0" borderId="0" xfId="0"/>
    <xf numFmtId="0" fontId="8" fillId="2"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164" fontId="10" fillId="4" borderId="1" xfId="0" applyNumberFormat="1" applyFont="1" applyFill="1" applyBorder="1" applyAlignment="1">
      <alignment horizontal="center" vertical="center" wrapText="1"/>
    </xf>
    <xf numFmtId="0" fontId="6" fillId="0" borderId="0" xfId="0" applyFont="1"/>
    <xf numFmtId="165"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3" fontId="10" fillId="4" borderId="1" xfId="0"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0" fontId="12" fillId="6"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9" fillId="3" borderId="1" xfId="0" applyFont="1" applyFill="1" applyBorder="1"/>
    <xf numFmtId="166" fontId="10" fillId="4" borderId="1" xfId="0" applyNumberFormat="1" applyFont="1" applyFill="1" applyBorder="1" applyAlignment="1">
      <alignment horizontal="center" vertical="center" wrapText="1"/>
    </xf>
    <xf numFmtId="166" fontId="10" fillId="5" borderId="1" xfId="0" applyNumberFormat="1" applyFont="1" applyFill="1" applyBorder="1" applyAlignment="1">
      <alignment horizontal="center" vertical="center" wrapText="1"/>
    </xf>
    <xf numFmtId="167" fontId="3" fillId="0" borderId="1" xfId="0" applyNumberFormat="1" applyFont="1" applyBorder="1" applyAlignment="1">
      <alignment horizontal="center" vertical="center" wrapText="1"/>
    </xf>
    <xf numFmtId="166" fontId="11" fillId="0" borderId="1" xfId="0" applyNumberFormat="1" applyFont="1" applyBorder="1" applyAlignment="1">
      <alignment horizontal="center" vertical="center" wrapText="1"/>
    </xf>
    <xf numFmtId="0" fontId="10" fillId="4" borderId="1" xfId="0" applyFont="1" applyFill="1" applyBorder="1"/>
    <xf numFmtId="165" fontId="11"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11" fillId="0" borderId="1" xfId="0" applyFont="1" applyBorder="1" applyAlignment="1">
      <alignment horizontal="center" vertical="center" wrapText="1"/>
    </xf>
    <xf numFmtId="0" fontId="13" fillId="3" borderId="1" xfId="0" applyFont="1" applyFill="1" applyBorder="1" applyAlignment="1">
      <alignment horizontal="left" vertical="center" wrapText="1"/>
    </xf>
    <xf numFmtId="165" fontId="11"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165" fontId="11"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166" fontId="11" fillId="3" borderId="1" xfId="0" applyNumberFormat="1" applyFont="1" applyFill="1" applyBorder="1" applyAlignment="1">
      <alignment horizontal="center" vertical="center" wrapText="1"/>
    </xf>
    <xf numFmtId="0" fontId="16" fillId="3" borderId="1" xfId="0" applyFont="1" applyFill="1" applyBorder="1" applyAlignment="1">
      <alignment horizontal="left" vertical="center" wrapText="1"/>
    </xf>
    <xf numFmtId="0" fontId="17" fillId="8"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2" fillId="3" borderId="1" xfId="0" applyFont="1" applyFill="1" applyBorder="1" applyAlignment="1">
      <alignment vertical="center" wrapText="1"/>
    </xf>
    <xf numFmtId="14" fontId="10" fillId="4" borderId="1" xfId="0" applyNumberFormat="1" applyFont="1" applyFill="1" applyBorder="1" applyAlignment="1">
      <alignment horizontal="center" vertical="center" wrapText="1"/>
    </xf>
    <xf numFmtId="0" fontId="20" fillId="0" borderId="0" xfId="0" applyFont="1" applyAlignment="1">
      <alignment horizontal="center" vertical="center" wrapText="1"/>
    </xf>
    <xf numFmtId="0" fontId="0" fillId="0" borderId="0" xfId="0" applyAlignment="1">
      <alignment wrapText="1"/>
    </xf>
    <xf numFmtId="0" fontId="0" fillId="0" borderId="0" xfId="0" applyAlignment="1">
      <alignment horizontal="left" wrapText="1"/>
    </xf>
    <xf numFmtId="0" fontId="19" fillId="0" borderId="0" xfId="0" applyFont="1" applyAlignment="1">
      <alignment vertical="center" wrapText="1"/>
    </xf>
    <xf numFmtId="0" fontId="19" fillId="0" borderId="0" xfId="0" applyFont="1" applyAlignment="1">
      <alignment horizontal="center" vertical="center" wrapText="1"/>
    </xf>
    <xf numFmtId="3" fontId="10" fillId="0" borderId="1" xfId="0" applyNumberFormat="1" applyFont="1" applyBorder="1" applyAlignment="1">
      <alignment horizontal="center" vertical="center" wrapText="1"/>
    </xf>
    <xf numFmtId="9" fontId="0" fillId="0" borderId="0" xfId="0" applyNumberFormat="1"/>
    <xf numFmtId="9"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3" fontId="22"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Alignment="1">
      <alignment horizontal="center" vertical="center" wrapText="1"/>
    </xf>
    <xf numFmtId="0" fontId="10" fillId="4" borderId="1" xfId="0" applyFont="1" applyFill="1" applyBorder="1" applyAlignment="1">
      <alignment horizontal="left" vertical="center" wrapText="1"/>
    </xf>
    <xf numFmtId="9" fontId="11" fillId="0" borderId="1" xfId="0" applyNumberFormat="1" applyFont="1" applyBorder="1" applyAlignment="1">
      <alignment horizontal="center" vertical="center" wrapText="1"/>
    </xf>
    <xf numFmtId="0" fontId="0" fillId="0" borderId="0" xfId="0" applyAlignment="1">
      <alignment vertical="center"/>
    </xf>
    <xf numFmtId="0" fontId="10" fillId="4" borderId="1" xfId="0" applyFont="1" applyFill="1" applyBorder="1" applyAlignment="1">
      <alignment vertical="center"/>
    </xf>
    <xf numFmtId="164" fontId="10" fillId="4" borderId="2" xfId="0" applyNumberFormat="1" applyFont="1" applyFill="1" applyBorder="1" applyAlignment="1">
      <alignment horizontal="center" vertical="center" wrapText="1"/>
    </xf>
    <xf numFmtId="165" fontId="3" fillId="0" borderId="12" xfId="0" applyNumberFormat="1" applyFont="1" applyBorder="1" applyAlignment="1">
      <alignment horizontal="center" vertical="center" wrapText="1"/>
    </xf>
    <xf numFmtId="168" fontId="3" fillId="0" borderId="12"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xf numFmtId="0" fontId="23" fillId="0" borderId="0" xfId="0" applyFont="1"/>
    <xf numFmtId="0" fontId="0" fillId="0" borderId="4" xfId="0" applyBorder="1"/>
    <xf numFmtId="0" fontId="0" fillId="0" borderId="4" xfId="0" applyBorder="1" applyAlignment="1">
      <alignment wrapText="1"/>
    </xf>
    <xf numFmtId="0" fontId="8" fillId="2" borderId="11" xfId="0" applyFont="1" applyFill="1" applyBorder="1" applyAlignment="1">
      <alignment horizontal="center" vertical="center" wrapText="1"/>
    </xf>
    <xf numFmtId="0" fontId="24" fillId="0" borderId="1" xfId="0" applyFont="1" applyBorder="1" applyAlignment="1">
      <alignment horizontal="center" vertical="center" wrapText="1"/>
    </xf>
    <xf numFmtId="0" fontId="17" fillId="2" borderId="0" xfId="0" applyFont="1" applyFill="1" applyAlignment="1">
      <alignment horizontal="center" vertical="center" wrapText="1"/>
    </xf>
    <xf numFmtId="0" fontId="3" fillId="0" borderId="0" xfId="0" applyFont="1" applyAlignment="1">
      <alignment horizontal="center" vertical="center" wrapText="1"/>
    </xf>
    <xf numFmtId="9" fontId="3" fillId="0" borderId="12" xfId="0" applyNumberFormat="1" applyFont="1" applyBorder="1" applyAlignment="1">
      <alignment horizontal="center" vertical="center" wrapText="1"/>
    </xf>
    <xf numFmtId="164" fontId="25" fillId="12" borderId="1" xfId="0" applyNumberFormat="1" applyFont="1" applyFill="1" applyBorder="1" applyAlignment="1">
      <alignment horizontal="center" vertical="center" wrapText="1"/>
    </xf>
    <xf numFmtId="166" fontId="22" fillId="4" borderId="1" xfId="0" applyNumberFormat="1" applyFont="1" applyFill="1" applyBorder="1" applyAlignment="1">
      <alignment horizontal="center" vertical="center" wrapText="1"/>
    </xf>
    <xf numFmtId="0" fontId="9" fillId="0" borderId="1" xfId="0" applyFont="1" applyBorder="1" applyAlignment="1">
      <alignment horizontal="left" vertical="center" wrapText="1"/>
    </xf>
    <xf numFmtId="9" fontId="11" fillId="3" borderId="1" xfId="0" applyNumberFormat="1" applyFont="1" applyFill="1" applyBorder="1" applyAlignment="1">
      <alignment horizontal="center" vertical="center" wrapText="1"/>
    </xf>
    <xf numFmtId="164" fontId="22" fillId="4" borderId="1" xfId="0" applyNumberFormat="1" applyFont="1" applyFill="1" applyBorder="1" applyAlignment="1">
      <alignment horizontal="center" vertical="center" wrapText="1"/>
    </xf>
    <xf numFmtId="164" fontId="22" fillId="4" borderId="2" xfId="0" applyNumberFormat="1" applyFont="1" applyFill="1" applyBorder="1" applyAlignment="1">
      <alignment horizontal="center" vertical="center" wrapText="1"/>
    </xf>
    <xf numFmtId="164" fontId="22" fillId="0" borderId="1" xfId="0" applyNumberFormat="1" applyFont="1" applyBorder="1" applyAlignment="1">
      <alignment horizontal="center" vertical="center" wrapText="1"/>
    </xf>
    <xf numFmtId="0" fontId="0" fillId="0" borderId="15" xfId="0" applyBorder="1"/>
    <xf numFmtId="0" fontId="0" fillId="0" borderId="16" xfId="0" applyBorder="1"/>
    <xf numFmtId="0" fontId="2" fillId="0" borderId="15" xfId="0" applyFont="1" applyBorder="1" applyAlignment="1">
      <alignment horizontal="left" vertical="center" wrapText="1"/>
    </xf>
    <xf numFmtId="0" fontId="3" fillId="0" borderId="16" xfId="0" applyFont="1" applyBorder="1" applyAlignment="1">
      <alignment horizontal="left" vertical="center" wrapText="1"/>
    </xf>
    <xf numFmtId="0" fontId="4" fillId="0" borderId="15" xfId="0" applyFont="1" applyBorder="1" applyAlignment="1">
      <alignment horizontal="left" vertical="center" wrapText="1"/>
    </xf>
    <xf numFmtId="0" fontId="2" fillId="3" borderId="15"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2" fillId="0" borderId="17" xfId="0" applyFont="1" applyBorder="1" applyAlignment="1">
      <alignment horizontal="left" vertical="center" wrapText="1"/>
    </xf>
    <xf numFmtId="0" fontId="3" fillId="0" borderId="18" xfId="0" applyFont="1" applyBorder="1" applyAlignment="1">
      <alignment horizontal="left" vertical="center" wrapText="1"/>
    </xf>
    <xf numFmtId="0" fontId="10" fillId="4" borderId="0" xfId="0" applyFont="1" applyFill="1" applyAlignment="1">
      <alignment horizontal="center" vertical="center" wrapText="1"/>
    </xf>
    <xf numFmtId="3" fontId="10" fillId="4" borderId="0" xfId="0" applyNumberFormat="1" applyFont="1" applyFill="1" applyAlignment="1">
      <alignment horizontal="center" vertical="center" wrapText="1"/>
    </xf>
    <xf numFmtId="3" fontId="10" fillId="0" borderId="0" xfId="0" applyNumberFormat="1" applyFont="1" applyAlignment="1">
      <alignment horizontal="center" vertical="center" wrapText="1"/>
    </xf>
    <xf numFmtId="3" fontId="3"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0" fontId="8" fillId="2" borderId="19" xfId="0" applyFont="1" applyFill="1" applyBorder="1" applyAlignment="1">
      <alignment horizontal="center" vertical="center" wrapText="1"/>
    </xf>
    <xf numFmtId="0" fontId="10" fillId="4" borderId="19" xfId="0" applyFont="1" applyFill="1" applyBorder="1" applyAlignment="1">
      <alignment horizontal="center" vertical="center" wrapText="1"/>
    </xf>
    <xf numFmtId="14" fontId="10" fillId="4" borderId="19" xfId="0" applyNumberFormat="1" applyFont="1" applyFill="1" applyBorder="1" applyAlignment="1">
      <alignment horizontal="center" vertical="center" wrapText="1"/>
    </xf>
    <xf numFmtId="3" fontId="10" fillId="4" borderId="19" xfId="0" applyNumberFormat="1" applyFont="1" applyFill="1" applyBorder="1" applyAlignment="1">
      <alignment horizontal="center" vertical="center" wrapText="1"/>
    </xf>
    <xf numFmtId="0" fontId="0" fillId="0" borderId="4" xfId="0" applyBorder="1" applyAlignment="1">
      <alignment vertical="top" wrapText="1"/>
    </xf>
    <xf numFmtId="16" fontId="0" fillId="14" borderId="4" xfId="0" applyNumberFormat="1" applyFill="1" applyBorder="1"/>
    <xf numFmtId="0" fontId="0" fillId="14" borderId="4" xfId="0" applyFill="1" applyBorder="1"/>
    <xf numFmtId="0" fontId="0" fillId="14" borderId="4" xfId="0" applyFill="1" applyBorder="1" applyAlignment="1">
      <alignment wrapText="1"/>
    </xf>
    <xf numFmtId="0" fontId="0" fillId="14" borderId="0" xfId="0" applyFill="1"/>
    <xf numFmtId="16" fontId="0" fillId="15" borderId="4" xfId="0" applyNumberFormat="1" applyFill="1" applyBorder="1"/>
    <xf numFmtId="0" fontId="0" fillId="15" borderId="4" xfId="0" applyFill="1" applyBorder="1"/>
    <xf numFmtId="0" fontId="0" fillId="15" borderId="4" xfId="0" applyFill="1" applyBorder="1" applyAlignment="1">
      <alignment wrapText="1"/>
    </xf>
    <xf numFmtId="0" fontId="0" fillId="15" borderId="0" xfId="0" applyFill="1"/>
    <xf numFmtId="0" fontId="0" fillId="12" borderId="4" xfId="0" applyFill="1" applyBorder="1"/>
    <xf numFmtId="0" fontId="0" fillId="12" borderId="4" xfId="0" applyFill="1" applyBorder="1" applyAlignment="1">
      <alignment wrapText="1"/>
    </xf>
    <xf numFmtId="0" fontId="0" fillId="12" borderId="0" xfId="0" applyFill="1"/>
    <xf numFmtId="0" fontId="27" fillId="0" borderId="19" xfId="0" applyFont="1" applyBorder="1" applyAlignment="1">
      <alignment horizontal="center"/>
    </xf>
    <xf numFmtId="0" fontId="0" fillId="0" borderId="19" xfId="0" applyBorder="1"/>
    <xf numFmtId="0" fontId="8" fillId="2" borderId="26" xfId="0" applyFont="1" applyFill="1" applyBorder="1" applyAlignment="1">
      <alignment horizontal="center" vertical="center" wrapText="1"/>
    </xf>
    <xf numFmtId="0" fontId="8" fillId="2" borderId="27" xfId="0" applyFont="1" applyFill="1" applyBorder="1" applyAlignment="1">
      <alignment horizontal="center" vertical="center" wrapText="1"/>
    </xf>
    <xf numFmtId="9" fontId="8" fillId="2" borderId="27" xfId="0" applyNumberFormat="1" applyFont="1" applyFill="1" applyBorder="1" applyAlignment="1">
      <alignment horizontal="center" vertical="center" wrapText="1"/>
    </xf>
    <xf numFmtId="0" fontId="10" fillId="4" borderId="4" xfId="0" applyFont="1" applyFill="1" applyBorder="1" applyAlignment="1">
      <alignment horizontal="center" vertical="center" wrapText="1"/>
    </xf>
    <xf numFmtId="14" fontId="10" fillId="4" borderId="4" xfId="0" applyNumberFormat="1" applyFont="1" applyFill="1" applyBorder="1" applyAlignment="1">
      <alignment horizontal="center" vertical="center" wrapText="1"/>
    </xf>
    <xf numFmtId="3" fontId="10" fillId="4" borderId="4" xfId="0" applyNumberFormat="1" applyFont="1" applyFill="1" applyBorder="1" applyAlignment="1">
      <alignment horizontal="center" vertical="center" wrapText="1"/>
    </xf>
    <xf numFmtId="3" fontId="0" fillId="0" borderId="4" xfId="0" applyNumberFormat="1" applyBorder="1"/>
    <xf numFmtId="9" fontId="0" fillId="0" borderId="4" xfId="0" applyNumberFormat="1" applyBorder="1"/>
    <xf numFmtId="0" fontId="26" fillId="16" borderId="0" xfId="0" applyFont="1" applyFill="1"/>
    <xf numFmtId="0" fontId="26" fillId="16" borderId="4" xfId="0" applyFont="1" applyFill="1" applyBorder="1"/>
    <xf numFmtId="0" fontId="26" fillId="16" borderId="4" xfId="0" applyFont="1" applyFill="1" applyBorder="1" applyAlignment="1">
      <alignment wrapText="1"/>
    </xf>
    <xf numFmtId="0" fontId="28" fillId="0" borderId="1" xfId="0" applyFont="1" applyBorder="1" applyAlignment="1">
      <alignment horizontal="center" vertical="center" wrapText="1"/>
    </xf>
    <xf numFmtId="9" fontId="0" fillId="0" borderId="8" xfId="0" applyNumberFormat="1" applyBorder="1"/>
    <xf numFmtId="0" fontId="0" fillId="0" borderId="28" xfId="0" applyBorder="1"/>
    <xf numFmtId="14" fontId="10" fillId="4"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164" fontId="10" fillId="4" borderId="0" xfId="0" applyNumberFormat="1" applyFont="1" applyFill="1" applyAlignment="1">
      <alignment horizontal="center" vertical="center" wrapText="1"/>
    </xf>
    <xf numFmtId="164" fontId="10" fillId="0" borderId="0" xfId="0" applyNumberFormat="1" applyFont="1" applyAlignment="1">
      <alignment horizontal="center" vertical="center" wrapText="1"/>
    </xf>
    <xf numFmtId="0" fontId="0" fillId="15" borderId="4" xfId="0" applyFill="1" applyBorder="1" applyAlignment="1">
      <alignment vertical="top" wrapText="1"/>
    </xf>
    <xf numFmtId="9" fontId="0" fillId="14" borderId="8" xfId="0" applyNumberFormat="1" applyFill="1" applyBorder="1"/>
    <xf numFmtId="165" fontId="3" fillId="14" borderId="1" xfId="0" applyNumberFormat="1" applyFont="1" applyFill="1" applyBorder="1" applyAlignment="1">
      <alignment horizontal="center" vertical="center" wrapText="1"/>
    </xf>
    <xf numFmtId="0" fontId="9" fillId="3" borderId="0" xfId="0" applyFont="1" applyFill="1" applyAlignment="1">
      <alignment horizontal="left" vertical="center" wrapText="1"/>
    </xf>
    <xf numFmtId="0" fontId="29" fillId="0" borderId="1" xfId="0" applyFont="1" applyBorder="1" applyAlignment="1">
      <alignment horizontal="center" vertical="center" wrapText="1"/>
    </xf>
    <xf numFmtId="0" fontId="11" fillId="3" borderId="2" xfId="0" applyFont="1" applyFill="1" applyBorder="1" applyAlignment="1">
      <alignment horizontal="center" vertical="center" wrapText="1"/>
    </xf>
    <xf numFmtId="0" fontId="24" fillId="0" borderId="2" xfId="0" applyFont="1" applyBorder="1" applyAlignment="1">
      <alignment horizontal="center" vertical="center" wrapText="1"/>
    </xf>
    <xf numFmtId="165" fontId="11" fillId="3" borderId="2" xfId="0" applyNumberFormat="1" applyFont="1" applyFill="1" applyBorder="1" applyAlignment="1">
      <alignment horizontal="center" vertical="center" wrapText="1"/>
    </xf>
    <xf numFmtId="166" fontId="11" fillId="3" borderId="2" xfId="0" applyNumberFormat="1" applyFont="1" applyFill="1" applyBorder="1" applyAlignment="1">
      <alignment horizontal="center" vertical="center" wrapText="1"/>
    </xf>
    <xf numFmtId="0" fontId="24" fillId="7" borderId="2" xfId="0" applyFont="1" applyFill="1" applyBorder="1" applyAlignment="1">
      <alignment horizontal="center" vertical="center" wrapText="1"/>
    </xf>
    <xf numFmtId="6" fontId="14" fillId="3" borderId="1" xfId="0" applyNumberFormat="1" applyFont="1" applyFill="1" applyBorder="1" applyAlignment="1">
      <alignment horizontal="center" vertical="center" wrapText="1"/>
    </xf>
    <xf numFmtId="16" fontId="0" fillId="15" borderId="10" xfId="0" applyNumberFormat="1" applyFill="1" applyBorder="1"/>
    <xf numFmtId="16" fontId="0" fillId="14" borderId="10" xfId="0" applyNumberFormat="1" applyFill="1" applyBorder="1"/>
    <xf numFmtId="16" fontId="0" fillId="12" borderId="10" xfId="0" applyNumberFormat="1" applyFill="1" applyBorder="1"/>
    <xf numFmtId="16" fontId="0" fillId="0" borderId="10" xfId="0" applyNumberFormat="1" applyBorder="1"/>
    <xf numFmtId="0" fontId="0" fillId="15" borderId="8" xfId="0" applyFill="1" applyBorder="1"/>
    <xf numFmtId="0" fontId="0" fillId="14" borderId="8" xfId="0" applyFill="1" applyBorder="1"/>
    <xf numFmtId="0" fontId="0" fillId="12" borderId="8" xfId="0" applyFill="1" applyBorder="1"/>
    <xf numFmtId="0" fontId="0" fillId="0" borderId="8" xfId="0" applyBorder="1"/>
    <xf numFmtId="16" fontId="0" fillId="0" borderId="32" xfId="0" applyNumberFormat="1" applyBorder="1"/>
    <xf numFmtId="0" fontId="0" fillId="0" borderId="28" xfId="0" applyBorder="1" applyAlignment="1">
      <alignment wrapText="1"/>
    </xf>
    <xf numFmtId="0" fontId="0" fillId="0" borderId="33" xfId="0" applyBorder="1"/>
    <xf numFmtId="0" fontId="10" fillId="4" borderId="19" xfId="0" applyFont="1" applyFill="1" applyBorder="1" applyAlignment="1">
      <alignment horizontal="center" wrapText="1"/>
    </xf>
    <xf numFmtId="0" fontId="30" fillId="13" borderId="25" xfId="0" applyFont="1" applyFill="1" applyBorder="1"/>
    <xf numFmtId="0" fontId="30" fillId="13" borderId="30" xfId="0" applyFont="1" applyFill="1" applyBorder="1"/>
    <xf numFmtId="0" fontId="30" fillId="13" borderId="30" xfId="0" applyFont="1" applyFill="1" applyBorder="1" applyAlignment="1">
      <alignment wrapText="1"/>
    </xf>
    <xf numFmtId="0" fontId="30" fillId="13" borderId="31" xfId="0" applyFont="1" applyFill="1" applyBorder="1"/>
    <xf numFmtId="0" fontId="0" fillId="0" borderId="0" xfId="0" applyAlignment="1">
      <alignment horizontal="center"/>
    </xf>
    <xf numFmtId="0" fontId="30" fillId="13" borderId="30" xfId="0" applyFont="1" applyFill="1" applyBorder="1" applyAlignment="1">
      <alignment horizontal="center"/>
    </xf>
    <xf numFmtId="16" fontId="0" fillId="12" borderId="4" xfId="0" applyNumberFormat="1" applyFill="1" applyBorder="1" applyAlignment="1">
      <alignment horizontal="center" wrapText="1"/>
    </xf>
    <xf numFmtId="0" fontId="0" fillId="12" borderId="4" xfId="0" applyFill="1" applyBorder="1" applyAlignment="1">
      <alignment horizontal="center" wrapText="1"/>
    </xf>
    <xf numFmtId="16" fontId="0" fillId="12" borderId="4" xfId="0" applyNumberFormat="1" applyFill="1" applyBorder="1" applyAlignment="1">
      <alignment horizontal="center"/>
    </xf>
    <xf numFmtId="0" fontId="0" fillId="12" borderId="4" xfId="0" applyFill="1" applyBorder="1" applyAlignment="1">
      <alignment horizontal="center"/>
    </xf>
    <xf numFmtId="0" fontId="0" fillId="0" borderId="4" xfId="0" applyBorder="1" applyAlignment="1">
      <alignment horizontal="center"/>
    </xf>
    <xf numFmtId="0" fontId="0" fillId="0" borderId="28" xfId="0" applyBorder="1" applyAlignment="1">
      <alignment horizontal="center"/>
    </xf>
    <xf numFmtId="16" fontId="0" fillId="14" borderId="10" xfId="0" applyNumberFormat="1" applyFill="1" applyBorder="1" applyAlignment="1">
      <alignment wrapText="1"/>
    </xf>
    <xf numFmtId="16" fontId="0" fillId="14" borderId="10" xfId="0" applyNumberFormat="1" applyFill="1" applyBorder="1" applyAlignment="1">
      <alignment vertical="top" wrapText="1"/>
    </xf>
    <xf numFmtId="0" fontId="0" fillId="0" borderId="22" xfId="0" applyBorder="1"/>
    <xf numFmtId="0" fontId="0" fillId="0" borderId="19" xfId="0" applyBorder="1" applyAlignment="1">
      <alignment wrapText="1"/>
    </xf>
    <xf numFmtId="0" fontId="32" fillId="0" borderId="4" xfId="0" applyFont="1" applyBorder="1" applyAlignment="1">
      <alignment vertical="center"/>
    </xf>
    <xf numFmtId="0" fontId="33" fillId="0" borderId="4" xfId="0" applyFont="1" applyBorder="1" applyAlignment="1">
      <alignment vertical="center"/>
    </xf>
    <xf numFmtId="0" fontId="33" fillId="0" borderId="4" xfId="0" applyFont="1" applyBorder="1"/>
    <xf numFmtId="0" fontId="33" fillId="0" borderId="4" xfId="0" applyFont="1" applyBorder="1" applyAlignment="1">
      <alignment horizontal="center" vertical="center"/>
    </xf>
    <xf numFmtId="0" fontId="33" fillId="0" borderId="4" xfId="0" applyFont="1" applyBorder="1" applyAlignment="1">
      <alignment horizontal="center"/>
    </xf>
    <xf numFmtId="0" fontId="33" fillId="0" borderId="4" xfId="0" applyFont="1" applyBorder="1" applyAlignment="1">
      <alignment vertical="center" wrapText="1"/>
    </xf>
    <xf numFmtId="9" fontId="33" fillId="0" borderId="4" xfId="0" applyNumberFormat="1" applyFont="1" applyBorder="1" applyAlignment="1">
      <alignment horizontal="center" vertical="center"/>
    </xf>
    <xf numFmtId="0" fontId="33" fillId="0" borderId="4" xfId="0" applyFont="1" applyBorder="1" applyAlignment="1">
      <alignment horizontal="center" vertical="center" wrapText="1"/>
    </xf>
    <xf numFmtId="9" fontId="33" fillId="0" borderId="4" xfId="0" applyNumberFormat="1" applyFont="1" applyBorder="1" applyAlignment="1">
      <alignment horizontal="center" vertical="center" wrapText="1"/>
    </xf>
    <xf numFmtId="10" fontId="33" fillId="0" borderId="4" xfId="0" applyNumberFormat="1" applyFont="1" applyBorder="1" applyAlignment="1">
      <alignment horizontal="center" vertical="center" wrapText="1"/>
    </xf>
    <xf numFmtId="0" fontId="32" fillId="0" borderId="4" xfId="0" applyFont="1" applyBorder="1" applyAlignment="1">
      <alignment horizontal="center" vertical="center"/>
    </xf>
    <xf numFmtId="0" fontId="0" fillId="0" borderId="4" xfId="0" applyBorder="1" applyAlignment="1">
      <alignment horizontal="right"/>
    </xf>
    <xf numFmtId="9" fontId="0" fillId="0" borderId="4" xfId="1" applyFont="1" applyBorder="1"/>
    <xf numFmtId="0" fontId="34" fillId="18" borderId="0" xfId="0" applyFont="1" applyFill="1" applyAlignment="1">
      <alignment horizontal="center" vertical="center"/>
    </xf>
    <xf numFmtId="0" fontId="0" fillId="0" borderId="34" xfId="0" applyBorder="1"/>
    <xf numFmtId="0" fontId="10" fillId="4" borderId="26" xfId="0" applyFont="1" applyFill="1" applyBorder="1" applyAlignment="1">
      <alignment horizontal="center" vertical="center" wrapText="1"/>
    </xf>
    <xf numFmtId="3" fontId="10" fillId="0" borderId="4" xfId="0" applyNumberFormat="1" applyFont="1" applyBorder="1" applyAlignment="1">
      <alignment horizontal="center" vertical="center" wrapText="1"/>
    </xf>
    <xf numFmtId="3" fontId="3" fillId="0" borderId="4" xfId="0" applyNumberFormat="1" applyFont="1" applyBorder="1" applyAlignment="1">
      <alignment horizontal="center" vertical="center" wrapText="1"/>
    </xf>
    <xf numFmtId="165"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165" fontId="3" fillId="0" borderId="2" xfId="0" applyNumberFormat="1" applyFont="1" applyBorder="1" applyAlignment="1">
      <alignment horizontal="center" vertical="center" wrapText="1"/>
    </xf>
    <xf numFmtId="165" fontId="3" fillId="0" borderId="27" xfId="0" applyNumberFormat="1" applyFont="1" applyBorder="1" applyAlignment="1">
      <alignment horizontal="center" vertical="center" wrapText="1"/>
    </xf>
    <xf numFmtId="0" fontId="0" fillId="0" borderId="35" xfId="0" applyBorder="1"/>
    <xf numFmtId="0" fontId="35" fillId="0" borderId="34" xfId="0" applyFont="1" applyBorder="1" applyAlignment="1">
      <alignment wrapText="1"/>
    </xf>
    <xf numFmtId="0" fontId="0" fillId="0" borderId="22" xfId="0" applyBorder="1" applyAlignment="1">
      <alignment wrapText="1"/>
    </xf>
    <xf numFmtId="0" fontId="8" fillId="2" borderId="19" xfId="0" applyFont="1" applyFill="1" applyBorder="1" applyAlignment="1">
      <alignment vertical="center" wrapText="1"/>
    </xf>
    <xf numFmtId="0" fontId="10" fillId="4" borderId="19" xfId="0" applyFont="1" applyFill="1" applyBorder="1" applyAlignment="1">
      <alignment vertical="center" wrapText="1"/>
    </xf>
    <xf numFmtId="0" fontId="0" fillId="0" borderId="0" xfId="0" applyAlignment="1">
      <alignment vertical="top"/>
    </xf>
    <xf numFmtId="0" fontId="0" fillId="0" borderId="19" xfId="0" applyBorder="1" applyAlignment="1">
      <alignment horizontal="center"/>
    </xf>
    <xf numFmtId="10" fontId="0" fillId="0" borderId="19" xfId="0" applyNumberFormat="1" applyBorder="1" applyAlignment="1">
      <alignment horizontal="center"/>
    </xf>
    <xf numFmtId="9" fontId="0" fillId="0" borderId="19" xfId="0" applyNumberFormat="1" applyBorder="1" applyAlignment="1">
      <alignment horizontal="center"/>
    </xf>
    <xf numFmtId="16" fontId="0" fillId="19" borderId="10" xfId="0" applyNumberFormat="1" applyFill="1" applyBorder="1"/>
    <xf numFmtId="0" fontId="0" fillId="19" borderId="4" xfId="0" applyFill="1" applyBorder="1" applyAlignment="1">
      <alignment wrapText="1"/>
    </xf>
    <xf numFmtId="0" fontId="0" fillId="19" borderId="4" xfId="0" applyFill="1" applyBorder="1"/>
    <xf numFmtId="0" fontId="0" fillId="19" borderId="8" xfId="0" applyFill="1" applyBorder="1" applyAlignment="1">
      <alignment wrapText="1"/>
    </xf>
    <xf numFmtId="0" fontId="0" fillId="19" borderId="0" xfId="0" applyFill="1"/>
    <xf numFmtId="16" fontId="0" fillId="19" borderId="4" xfId="0" applyNumberFormat="1" applyFill="1" applyBorder="1" applyAlignment="1">
      <alignment horizontal="center" wrapText="1"/>
    </xf>
    <xf numFmtId="0" fontId="10" fillId="4" borderId="19" xfId="0" applyFont="1" applyFill="1" applyBorder="1" applyAlignment="1">
      <alignment horizontal="center" vertical="center"/>
    </xf>
    <xf numFmtId="14" fontId="10" fillId="4" borderId="19" xfId="0" applyNumberFormat="1" applyFont="1" applyFill="1" applyBorder="1" applyAlignment="1">
      <alignment horizontal="center" vertical="center"/>
    </xf>
    <xf numFmtId="3" fontId="10" fillId="4" borderId="10" xfId="0" applyNumberFormat="1" applyFont="1" applyFill="1" applyBorder="1" applyAlignment="1">
      <alignment horizontal="center" vertical="center" wrapText="1"/>
    </xf>
    <xf numFmtId="0" fontId="10" fillId="4" borderId="19" xfId="0" applyFont="1" applyFill="1" applyBorder="1" applyAlignment="1">
      <alignment horizontal="left" vertical="center"/>
    </xf>
    <xf numFmtId="0" fontId="10" fillId="4" borderId="4" xfId="0" applyFont="1" applyFill="1" applyBorder="1" applyAlignment="1">
      <alignment horizontal="left" vertical="center" wrapText="1"/>
    </xf>
    <xf numFmtId="14" fontId="10" fillId="4" borderId="19" xfId="0" applyNumberFormat="1" applyFont="1" applyFill="1" applyBorder="1" applyAlignment="1">
      <alignment horizontal="right" vertical="center"/>
    </xf>
    <xf numFmtId="3" fontId="10" fillId="4" borderId="10" xfId="0" applyNumberFormat="1" applyFont="1" applyFill="1" applyBorder="1" applyAlignment="1">
      <alignment horizontal="right" vertical="center" wrapText="1"/>
    </xf>
    <xf numFmtId="0" fontId="10" fillId="4" borderId="19" xfId="0" applyFont="1" applyFill="1" applyBorder="1" applyAlignment="1">
      <alignment horizontal="left"/>
    </xf>
    <xf numFmtId="1" fontId="3" fillId="0" borderId="26" xfId="0" applyNumberFormat="1" applyFont="1" applyBorder="1" applyAlignment="1">
      <alignment horizontal="center" vertical="center" wrapText="1"/>
    </xf>
    <xf numFmtId="3" fontId="22" fillId="0" borderId="26" xfId="0" applyNumberFormat="1" applyFont="1" applyBorder="1" applyAlignment="1">
      <alignment horizontal="center" vertical="center" wrapText="1"/>
    </xf>
    <xf numFmtId="9" fontId="3" fillId="0" borderId="26" xfId="0" applyNumberFormat="1" applyFont="1" applyBorder="1" applyAlignment="1">
      <alignment horizontal="center" vertical="center" wrapText="1"/>
    </xf>
    <xf numFmtId="0" fontId="10" fillId="4" borderId="0" xfId="0" applyFont="1" applyFill="1" applyAlignment="1">
      <alignment horizontal="center" vertical="center"/>
    </xf>
    <xf numFmtId="14" fontId="10" fillId="4" borderId="0" xfId="0" applyNumberFormat="1" applyFont="1" applyFill="1" applyAlignment="1">
      <alignment horizontal="center" vertical="center"/>
    </xf>
    <xf numFmtId="0" fontId="0" fillId="0" borderId="0" xfId="0" applyAlignment="1">
      <alignment horizontal="center" vertical="center"/>
    </xf>
    <xf numFmtId="0" fontId="33" fillId="0" borderId="19" xfId="0" applyFont="1" applyBorder="1" applyAlignment="1">
      <alignment horizontal="center"/>
    </xf>
    <xf numFmtId="0" fontId="33" fillId="0" borderId="19" xfId="0" applyFont="1" applyBorder="1" applyAlignment="1">
      <alignment horizontal="center" vertical="center"/>
    </xf>
    <xf numFmtId="0" fontId="9" fillId="3" borderId="3" xfId="0" applyFont="1" applyFill="1" applyBorder="1"/>
    <xf numFmtId="0" fontId="9" fillId="0" borderId="3" xfId="0" applyFont="1" applyBorder="1"/>
    <xf numFmtId="164" fontId="10" fillId="0" borderId="3" xfId="0" applyNumberFormat="1" applyFont="1" applyBorder="1" applyAlignment="1">
      <alignment horizontal="center" vertical="center" wrapText="1"/>
    </xf>
    <xf numFmtId="168" fontId="3" fillId="0" borderId="3"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26" xfId="0" applyFont="1" applyBorder="1" applyAlignment="1">
      <alignment horizontal="center" vertical="center" wrapText="1"/>
    </xf>
    <xf numFmtId="14" fontId="10" fillId="4" borderId="4" xfId="0" applyNumberFormat="1" applyFont="1" applyFill="1" applyBorder="1" applyAlignment="1">
      <alignment horizontal="right" vertical="center" wrapText="1"/>
    </xf>
    <xf numFmtId="14" fontId="10" fillId="4" borderId="19" xfId="0" applyNumberFormat="1" applyFont="1" applyFill="1" applyBorder="1" applyAlignment="1">
      <alignment horizontal="right" vertical="center" wrapText="1"/>
    </xf>
    <xf numFmtId="0" fontId="10" fillId="4" borderId="22" xfId="0" applyFont="1" applyFill="1" applyBorder="1" applyAlignment="1">
      <alignment horizontal="center" vertical="center" wrapText="1"/>
    </xf>
    <xf numFmtId="14" fontId="10" fillId="4" borderId="22" xfId="0" applyNumberFormat="1" applyFont="1" applyFill="1" applyBorder="1" applyAlignment="1">
      <alignment horizontal="right" vertical="center" wrapText="1"/>
    </xf>
    <xf numFmtId="0" fontId="10" fillId="4" borderId="28" xfId="0" applyFont="1" applyFill="1" applyBorder="1" applyAlignment="1">
      <alignment horizontal="center" vertical="center" wrapText="1"/>
    </xf>
    <xf numFmtId="0" fontId="8" fillId="2" borderId="19" xfId="0" applyFont="1" applyFill="1" applyBorder="1" applyAlignment="1">
      <alignment wrapText="1"/>
    </xf>
    <xf numFmtId="0" fontId="8" fillId="2" borderId="20" xfId="0" applyFont="1" applyFill="1" applyBorder="1" applyAlignment="1">
      <alignment wrapText="1"/>
    </xf>
    <xf numFmtId="0" fontId="10" fillId="4" borderId="19" xfId="0" applyFont="1" applyFill="1" applyBorder="1" applyAlignment="1">
      <alignment wrapText="1"/>
    </xf>
    <xf numFmtId="14" fontId="10" fillId="4" borderId="19" xfId="0" applyNumberFormat="1" applyFont="1" applyFill="1" applyBorder="1" applyAlignment="1">
      <alignment wrapText="1"/>
    </xf>
    <xf numFmtId="0" fontId="10" fillId="4" borderId="21" xfId="0" applyFont="1" applyFill="1" applyBorder="1" applyAlignment="1">
      <alignment wrapText="1"/>
    </xf>
    <xf numFmtId="0" fontId="10" fillId="4" borderId="0" xfId="0" applyFont="1" applyFill="1" applyAlignment="1">
      <alignment wrapText="1"/>
    </xf>
    <xf numFmtId="0" fontId="10" fillId="4" borderId="22" xfId="0" applyFont="1" applyFill="1" applyBorder="1" applyAlignment="1">
      <alignment wrapText="1"/>
    </xf>
    <xf numFmtId="14" fontId="10" fillId="4" borderId="22" xfId="0" applyNumberFormat="1" applyFont="1" applyFill="1" applyBorder="1" applyAlignment="1">
      <alignment wrapText="1"/>
    </xf>
    <xf numFmtId="0" fontId="10" fillId="4" borderId="23" xfId="0" applyFont="1" applyFill="1" applyBorder="1" applyAlignment="1">
      <alignment wrapText="1"/>
    </xf>
    <xf numFmtId="0" fontId="10" fillId="4" borderId="4" xfId="0" applyFont="1" applyFill="1" applyBorder="1" applyAlignment="1">
      <alignment wrapText="1"/>
    </xf>
    <xf numFmtId="14" fontId="10" fillId="4" borderId="4" xfId="0" applyNumberFormat="1" applyFont="1" applyFill="1" applyBorder="1" applyAlignment="1">
      <alignment wrapText="1"/>
    </xf>
    <xf numFmtId="3" fontId="10" fillId="4" borderId="4" xfId="0" applyNumberFormat="1" applyFont="1" applyFill="1" applyBorder="1" applyAlignment="1">
      <alignment horizontal="right" vertical="center" wrapText="1"/>
    </xf>
    <xf numFmtId="3" fontId="10" fillId="4" borderId="24" xfId="0" applyNumberFormat="1" applyFont="1" applyFill="1" applyBorder="1" applyAlignment="1">
      <alignment horizontal="right" vertical="center" wrapText="1"/>
    </xf>
    <xf numFmtId="0" fontId="10" fillId="4" borderId="19" xfId="0" applyFont="1" applyFill="1" applyBorder="1" applyAlignment="1">
      <alignment horizontal="left" vertical="center" wrapText="1"/>
    </xf>
    <xf numFmtId="0" fontId="10" fillId="4" borderId="19" xfId="0" applyFont="1" applyFill="1" applyBorder="1" applyAlignment="1">
      <alignment horizontal="left" wrapText="1"/>
    </xf>
    <xf numFmtId="0" fontId="10" fillId="4" borderId="19" xfId="0" applyFont="1" applyFill="1" applyBorder="1" applyAlignment="1">
      <alignment vertical="center"/>
    </xf>
    <xf numFmtId="0" fontId="10" fillId="4" borderId="10" xfId="0" applyFont="1" applyFill="1" applyBorder="1" applyAlignment="1">
      <alignment horizontal="center" wrapText="1"/>
    </xf>
    <xf numFmtId="0" fontId="10" fillId="4" borderId="21" xfId="0" applyFont="1" applyFill="1" applyBorder="1" applyAlignment="1">
      <alignment vertical="center" wrapText="1"/>
    </xf>
    <xf numFmtId="3" fontId="10" fillId="17" borderId="19" xfId="0" applyNumberFormat="1" applyFont="1" applyFill="1" applyBorder="1" applyAlignment="1">
      <alignment horizontal="center" vertical="center" wrapText="1"/>
    </xf>
    <xf numFmtId="0" fontId="10" fillId="4" borderId="25" xfId="0" applyFont="1" applyFill="1" applyBorder="1" applyAlignment="1">
      <alignment horizontal="center" wrapText="1"/>
    </xf>
    <xf numFmtId="0" fontId="1" fillId="2" borderId="0" xfId="0" applyFont="1" applyFill="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6" fillId="0" borderId="0" xfId="0" applyFont="1" applyAlignment="1">
      <alignment horizontal="center" vertical="center" wrapText="1"/>
    </xf>
    <xf numFmtId="0" fontId="15" fillId="7" borderId="0" xfId="0" applyFont="1" applyFill="1" applyAlignment="1">
      <alignment horizontal="center" vertical="center" wrapText="1"/>
    </xf>
    <xf numFmtId="0" fontId="15" fillId="3" borderId="0" xfId="0" applyFont="1" applyFill="1" applyAlignment="1">
      <alignment horizontal="center"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20" fillId="0" borderId="0" xfId="0" applyFont="1" applyAlignment="1">
      <alignment horizontal="center" vertical="center" wrapText="1"/>
    </xf>
    <xf numFmtId="0" fontId="7" fillId="2" borderId="3"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0" xfId="0" applyFont="1" applyFill="1" applyAlignment="1">
      <alignment vertical="center" wrapText="1"/>
    </xf>
    <xf numFmtId="0" fontId="20" fillId="0" borderId="4" xfId="0" applyFont="1" applyBorder="1" applyAlignment="1">
      <alignment horizontal="center" vertical="center" wrapText="1"/>
    </xf>
    <xf numFmtId="0" fontId="7" fillId="2" borderId="0" xfId="0" applyFont="1" applyFill="1" applyAlignment="1">
      <alignment horizontal="center" vertical="center" wrapText="1"/>
    </xf>
    <xf numFmtId="0" fontId="19" fillId="0" borderId="6" xfId="0" applyFont="1" applyBorder="1" applyAlignment="1">
      <alignment horizontal="center" vertical="center" wrapText="1"/>
    </xf>
    <xf numFmtId="0" fontId="21" fillId="12" borderId="8" xfId="0" applyFont="1" applyFill="1" applyBorder="1" applyAlignment="1">
      <alignment horizontal="left" vertical="center" wrapText="1"/>
    </xf>
    <xf numFmtId="0" fontId="21" fillId="12" borderId="9" xfId="0" applyFont="1" applyFill="1" applyBorder="1" applyAlignment="1">
      <alignment horizontal="left" vertical="center" wrapText="1"/>
    </xf>
    <xf numFmtId="0" fontId="21" fillId="12" borderId="10" xfId="0" applyFont="1" applyFill="1" applyBorder="1" applyAlignment="1">
      <alignment horizontal="left" vertical="center" wrapText="1"/>
    </xf>
    <xf numFmtId="0" fontId="19" fillId="0" borderId="3" xfId="0" applyFont="1" applyBorder="1" applyAlignment="1">
      <alignment horizontal="center" vertical="center" wrapText="1"/>
    </xf>
    <xf numFmtId="0" fontId="18" fillId="7" borderId="2" xfId="0" applyFont="1" applyFill="1" applyBorder="1" applyAlignment="1">
      <alignment horizontal="left" vertical="center" wrapText="1"/>
    </xf>
    <xf numFmtId="0" fontId="18" fillId="4" borderId="2" xfId="0" applyFont="1" applyFill="1" applyBorder="1" applyAlignment="1">
      <alignment horizontal="left" vertical="center" wrapText="1"/>
    </xf>
    <xf numFmtId="0" fontId="8" fillId="11" borderId="0" xfId="0" applyFont="1" applyFill="1" applyAlignment="1">
      <alignment horizontal="left" vertical="center" wrapText="1"/>
    </xf>
    <xf numFmtId="0" fontId="1" fillId="2" borderId="19" xfId="0" applyFont="1" applyFill="1" applyBorder="1" applyAlignment="1">
      <alignment horizontal="center" vertical="center" wrapText="1"/>
    </xf>
  </cellXfs>
  <cellStyles count="2">
    <cellStyle name="Normal" xfId="0" builtinId="0"/>
    <cellStyle name="Percent" xfId="1" builtinId="5"/>
  </cellStyles>
  <dxfs count="3">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Calibri"/>
        <family val="2"/>
        <scheme val="none"/>
      </font>
      <fill>
        <patternFill patternType="solid">
          <fgColor indexed="64"/>
          <bgColor theme="3" tint="0.79998168889431442"/>
        </patternFill>
      </fill>
      <border diagonalUp="0" diagonalDown="0" outline="0">
        <left style="thin">
          <color indexed="64"/>
        </left>
        <right style="thin">
          <color indexed="64"/>
        </right>
        <top/>
        <bottom/>
      </border>
    </dxf>
  </dxfs>
  <tableStyles count="0" defaultTableStyle="TableStyleMedium9"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CE8"/>
      <rgbColor rgb="FFEFF6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5F7FF"/>
      <rgbColor rgb="FFCCFFCC"/>
      <rgbColor rgb="FFFFFF99"/>
      <rgbColor rgb="FFCADCFC"/>
      <rgbColor rgb="FFFF99CC"/>
      <rgbColor rgb="FFCC99FF"/>
      <rgbColor rgb="FFFFCC99"/>
      <rgbColor rgb="FF3366FF"/>
      <rgbColor rgb="FF33CCCC"/>
      <rgbColor rgb="FF99CC00"/>
      <rgbColor rgb="FFFFCC00"/>
      <rgbColor rgb="FFCA8A04"/>
      <rgbColor rgb="FFFF6600"/>
      <rgbColor rgb="FF64748B"/>
      <rgbColor rgb="FF969696"/>
      <rgbColor rgb="FF1E2761"/>
      <rgbColor rgb="FF16A34A"/>
      <rgbColor rgb="FF003300"/>
      <rgbColor rgb="FF333300"/>
      <rgbColor rgb="FF993300"/>
      <rgbColor rgb="FF993366"/>
      <rgbColor rgb="FF333399"/>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EAC vs</a:t>
            </a:r>
            <a:r>
              <a:rPr lang="en-US" baseline="0"/>
              <a:t> Budget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Financial'!$A$6</c:f>
              <c:strCache>
                <c:ptCount val="1"/>
                <c:pt idx="0">
                  <c:v>SOW Budget Target ($)</c:v>
                </c:pt>
              </c:strCache>
            </c:strRef>
          </c:tx>
          <c:spPr>
            <a:solidFill>
              <a:schemeClr val="accent1"/>
            </a:solidFill>
            <a:ln>
              <a:noFill/>
            </a:ln>
            <a:effectLst/>
          </c:spPr>
          <c:invertIfNegative val="0"/>
          <c:cat>
            <c:strRef>
              <c:f>'💵 Financial'!$B$5:$E$5</c:f>
              <c:strCache>
                <c:ptCount val="4"/>
                <c:pt idx="0">
                  <c:v>Jan</c:v>
                </c:pt>
                <c:pt idx="1">
                  <c:v>Feb</c:v>
                </c:pt>
                <c:pt idx="2">
                  <c:v>Mar</c:v>
                </c:pt>
                <c:pt idx="3">
                  <c:v>Apr</c:v>
                </c:pt>
              </c:strCache>
            </c:strRef>
          </c:cat>
          <c:val>
            <c:numRef>
              <c:f>'💵 Financial'!$B$6:$E$6</c:f>
              <c:numCache>
                <c:formatCode>\$#,##0</c:formatCode>
                <c:ptCount val="4"/>
                <c:pt idx="0">
                  <c:v>471406</c:v>
                </c:pt>
                <c:pt idx="1">
                  <c:v>471406</c:v>
                </c:pt>
                <c:pt idx="2">
                  <c:v>471406</c:v>
                </c:pt>
                <c:pt idx="3">
                  <c:v>471406</c:v>
                </c:pt>
              </c:numCache>
            </c:numRef>
          </c:val>
          <c:extLst>
            <c:ext xmlns:c16="http://schemas.microsoft.com/office/drawing/2014/chart" uri="{C3380CC4-5D6E-409C-BE32-E72D297353CC}">
              <c16:uniqueId val="{00000000-5C4D-4C99-AE9E-2DAEFB92FC7B}"/>
            </c:ext>
          </c:extLst>
        </c:ser>
        <c:ser>
          <c:idx val="1"/>
          <c:order val="1"/>
          <c:tx>
            <c:strRef>
              <c:f>'💵 Financial'!$A$7</c:f>
              <c:strCache>
                <c:ptCount val="1"/>
                <c:pt idx="0">
                  <c:v>Estimate at Completion EAC ($)</c:v>
                </c:pt>
              </c:strCache>
            </c:strRef>
          </c:tx>
          <c:spPr>
            <a:solidFill>
              <a:schemeClr val="accent2"/>
            </a:solidFill>
            <a:ln>
              <a:noFill/>
            </a:ln>
            <a:effectLst/>
          </c:spPr>
          <c:invertIfNegative val="0"/>
          <c:cat>
            <c:strRef>
              <c:f>'💵 Financial'!$B$5:$E$5</c:f>
              <c:strCache>
                <c:ptCount val="4"/>
                <c:pt idx="0">
                  <c:v>Jan</c:v>
                </c:pt>
                <c:pt idx="1">
                  <c:v>Feb</c:v>
                </c:pt>
                <c:pt idx="2">
                  <c:v>Mar</c:v>
                </c:pt>
                <c:pt idx="3">
                  <c:v>Apr</c:v>
                </c:pt>
              </c:strCache>
            </c:strRef>
          </c:cat>
          <c:val>
            <c:numRef>
              <c:f>'💵 Financial'!$B$7:$E$7</c:f>
              <c:numCache>
                <c:formatCode>\$#,##0</c:formatCode>
                <c:ptCount val="4"/>
                <c:pt idx="0">
                  <c:v>416796</c:v>
                </c:pt>
                <c:pt idx="1">
                  <c:v>430671</c:v>
                </c:pt>
                <c:pt idx="2">
                  <c:v>377817</c:v>
                </c:pt>
                <c:pt idx="3">
                  <c:v>386711</c:v>
                </c:pt>
              </c:numCache>
            </c:numRef>
          </c:val>
          <c:extLst>
            <c:ext xmlns:c16="http://schemas.microsoft.com/office/drawing/2014/chart" uri="{C3380CC4-5D6E-409C-BE32-E72D297353CC}">
              <c16:uniqueId val="{00000001-5C4D-4C99-AE9E-2DAEFB92FC7B}"/>
            </c:ext>
          </c:extLst>
        </c:ser>
        <c:ser>
          <c:idx val="2"/>
          <c:order val="2"/>
          <c:tx>
            <c:strRef>
              <c:f>'💵 Financial'!$A$8</c:f>
              <c:strCache>
                <c:ptCount val="1"/>
                <c:pt idx="0">
                  <c:v>EAC vs Budget %</c:v>
                </c:pt>
              </c:strCache>
            </c:strRef>
          </c:tx>
          <c:spPr>
            <a:solidFill>
              <a:schemeClr val="accent3"/>
            </a:solidFill>
            <a:ln>
              <a:noFill/>
            </a:ln>
            <a:effectLst/>
          </c:spPr>
          <c:invertIfNegative val="0"/>
          <c:cat>
            <c:strRef>
              <c:f>'💵 Financial'!$B$5:$E$5</c:f>
              <c:strCache>
                <c:ptCount val="4"/>
                <c:pt idx="0">
                  <c:v>Jan</c:v>
                </c:pt>
                <c:pt idx="1">
                  <c:v>Feb</c:v>
                </c:pt>
                <c:pt idx="2">
                  <c:v>Mar</c:v>
                </c:pt>
                <c:pt idx="3">
                  <c:v>Apr</c:v>
                </c:pt>
              </c:strCache>
            </c:strRef>
          </c:cat>
          <c:val>
            <c:numRef>
              <c:f>'💵 Financial'!$B$8:$E$8</c:f>
              <c:numCache>
                <c:formatCode>0.0%</c:formatCode>
                <c:ptCount val="4"/>
                <c:pt idx="0">
                  <c:v>0.88415505954527518</c:v>
                </c:pt>
                <c:pt idx="1">
                  <c:v>0.91358828695434513</c:v>
                </c:pt>
                <c:pt idx="2">
                  <c:v>0.80146837333423848</c:v>
                </c:pt>
                <c:pt idx="3">
                  <c:v>0.82033533726766317</c:v>
                </c:pt>
              </c:numCache>
            </c:numRef>
          </c:val>
          <c:extLst>
            <c:ext xmlns:c16="http://schemas.microsoft.com/office/drawing/2014/chart" uri="{C3380CC4-5D6E-409C-BE32-E72D297353CC}">
              <c16:uniqueId val="{00000002-5C4D-4C99-AE9E-2DAEFB92FC7B}"/>
            </c:ext>
          </c:extLst>
        </c:ser>
        <c:dLbls>
          <c:showLegendKey val="0"/>
          <c:showVal val="0"/>
          <c:showCatName val="0"/>
          <c:showSerName val="0"/>
          <c:showPercent val="0"/>
          <c:showBubbleSize val="0"/>
        </c:dLbls>
        <c:gapWidth val="219"/>
        <c:overlap val="-27"/>
        <c:axId val="510752104"/>
        <c:axId val="510752824"/>
      </c:barChart>
      <c:catAx>
        <c:axId val="51075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52824"/>
        <c:crosses val="autoZero"/>
        <c:auto val="1"/>
        <c:lblAlgn val="ctr"/>
        <c:lblOffset val="100"/>
        <c:noMultiLvlLbl val="0"/>
      </c:catAx>
      <c:valAx>
        <c:axId val="510752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52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Sprint</a:t>
            </a:r>
            <a:r>
              <a:rPr lang="en-US" baseline="0"/>
              <a:t> Burn Variance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 Financial'!$A$13</c:f>
              <c:strCache>
                <c:ptCount val="1"/>
                <c:pt idx="0">
                  <c:v>Planned Monthly Spend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Financial'!$B$12:$I$12</c:f>
              <c:strCache>
                <c:ptCount val="8"/>
                <c:pt idx="0">
                  <c:v>SP1</c:v>
                </c:pt>
                <c:pt idx="1">
                  <c:v>SP2</c:v>
                </c:pt>
                <c:pt idx="2">
                  <c:v>SP3</c:v>
                </c:pt>
                <c:pt idx="3">
                  <c:v>SP4</c:v>
                </c:pt>
                <c:pt idx="4">
                  <c:v>SP5</c:v>
                </c:pt>
                <c:pt idx="5">
                  <c:v>SP6</c:v>
                </c:pt>
                <c:pt idx="6">
                  <c:v>Q2 SP1</c:v>
                </c:pt>
                <c:pt idx="7">
                  <c:v>Q2 SP2</c:v>
                </c:pt>
              </c:strCache>
            </c:strRef>
          </c:cat>
          <c:val>
            <c:numRef>
              <c:f>'💵 Financial'!$B$13:$I$13</c:f>
              <c:numCache>
                <c:formatCode>\$#,##0</c:formatCode>
                <c:ptCount val="8"/>
                <c:pt idx="0">
                  <c:v>210800</c:v>
                </c:pt>
                <c:pt idx="1">
                  <c:v>210800</c:v>
                </c:pt>
                <c:pt idx="2">
                  <c:v>210800</c:v>
                </c:pt>
                <c:pt idx="3">
                  <c:v>210800</c:v>
                </c:pt>
                <c:pt idx="4">
                  <c:v>210800</c:v>
                </c:pt>
                <c:pt idx="5">
                  <c:v>210800</c:v>
                </c:pt>
                <c:pt idx="6">
                  <c:v>210800</c:v>
                </c:pt>
                <c:pt idx="7">
                  <c:v>192960</c:v>
                </c:pt>
              </c:numCache>
            </c:numRef>
          </c:val>
          <c:smooth val="0"/>
          <c:extLst>
            <c:ext xmlns:c16="http://schemas.microsoft.com/office/drawing/2014/chart" uri="{C3380CC4-5D6E-409C-BE32-E72D297353CC}">
              <c16:uniqueId val="{00000000-13B6-44F4-8766-F1E9B58AFA0D}"/>
            </c:ext>
          </c:extLst>
        </c:ser>
        <c:ser>
          <c:idx val="1"/>
          <c:order val="1"/>
          <c:tx>
            <c:strRef>
              <c:f>'💵 Financial'!$A$14</c:f>
              <c:strCache>
                <c:ptCount val="1"/>
                <c:pt idx="0">
                  <c:v>Actual Monthly Spend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Financial'!$B$12:$I$12</c:f>
              <c:strCache>
                <c:ptCount val="8"/>
                <c:pt idx="0">
                  <c:v>SP1</c:v>
                </c:pt>
                <c:pt idx="1">
                  <c:v>SP2</c:v>
                </c:pt>
                <c:pt idx="2">
                  <c:v>SP3</c:v>
                </c:pt>
                <c:pt idx="3">
                  <c:v>SP4</c:v>
                </c:pt>
                <c:pt idx="4">
                  <c:v>SP5</c:v>
                </c:pt>
                <c:pt idx="5">
                  <c:v>SP6</c:v>
                </c:pt>
                <c:pt idx="6">
                  <c:v>Q2 SP1</c:v>
                </c:pt>
                <c:pt idx="7">
                  <c:v>Q2 SP2</c:v>
                </c:pt>
              </c:strCache>
            </c:strRef>
          </c:cat>
          <c:val>
            <c:numRef>
              <c:f>'💵 Financial'!$B$14:$I$14</c:f>
              <c:numCache>
                <c:formatCode>\$#,##0</c:formatCode>
                <c:ptCount val="8"/>
                <c:pt idx="0">
                  <c:v>200767</c:v>
                </c:pt>
                <c:pt idx="1">
                  <c:v>195257</c:v>
                </c:pt>
                <c:pt idx="2">
                  <c:v>209273</c:v>
                </c:pt>
                <c:pt idx="3">
                  <c:v>198914</c:v>
                </c:pt>
                <c:pt idx="4">
                  <c:v>182912</c:v>
                </c:pt>
                <c:pt idx="5">
                  <c:v>168949</c:v>
                </c:pt>
                <c:pt idx="6">
                  <c:v>182327</c:v>
                </c:pt>
                <c:pt idx="7">
                  <c:v>181744.6</c:v>
                </c:pt>
              </c:numCache>
            </c:numRef>
          </c:val>
          <c:smooth val="0"/>
          <c:extLst>
            <c:ext xmlns:c16="http://schemas.microsoft.com/office/drawing/2014/chart" uri="{C3380CC4-5D6E-409C-BE32-E72D297353CC}">
              <c16:uniqueId val="{00000001-13B6-44F4-8766-F1E9B58AFA0D}"/>
            </c:ext>
          </c:extLst>
        </c:ser>
        <c:dLbls>
          <c:showLegendKey val="0"/>
          <c:showVal val="0"/>
          <c:showCatName val="0"/>
          <c:showSerName val="0"/>
          <c:showPercent val="0"/>
          <c:showBubbleSize val="0"/>
        </c:dLbls>
        <c:marker val="1"/>
        <c:smooth val="0"/>
        <c:axId val="802657584"/>
        <c:axId val="802658304"/>
      </c:lineChart>
      <c:catAx>
        <c:axId val="8026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58304"/>
        <c:crosses val="autoZero"/>
        <c:auto val="1"/>
        <c:lblAlgn val="ctr"/>
        <c:lblOffset val="100"/>
        <c:noMultiLvlLbl val="0"/>
      </c:catAx>
      <c:valAx>
        <c:axId val="80265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5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'Team Sprints Input'!$D$54</c:f>
              <c:strCache>
                <c:ptCount val="1"/>
                <c:pt idx="0">
                  <c:v>Team 1</c:v>
                </c:pt>
              </c:strCache>
            </c:strRef>
          </c:tx>
          <c:spPr>
            <a:ln w="28575" cap="rnd">
              <a:solidFill>
                <a:schemeClr val="accent1"/>
              </a:solidFill>
              <a:round/>
            </a:ln>
            <a:effectLst/>
          </c:spPr>
          <c:marker>
            <c:symbol val="none"/>
          </c:marker>
          <c:cat>
            <c:strRef>
              <c:f>'Team Sprints Input'!$C$55:$C$64</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Input'!$D$55:$D$64</c:f>
              <c:numCache>
                <c:formatCode>0%</c:formatCode>
                <c:ptCount val="10"/>
                <c:pt idx="0" formatCode="General">
                  <c:v>0</c:v>
                </c:pt>
                <c:pt idx="1">
                  <c:v>9.0909090909090912E-2</c:v>
                </c:pt>
                <c:pt idx="2">
                  <c:v>0.49523809523809526</c:v>
                </c:pt>
                <c:pt idx="3">
                  <c:v>0.42276422764227645</c:v>
                </c:pt>
                <c:pt idx="4">
                  <c:v>0.18143459915611815</c:v>
                </c:pt>
                <c:pt idx="5">
                  <c:v>0.25510204081632654</c:v>
                </c:pt>
                <c:pt idx="6">
                  <c:v>0.18439716312056736</c:v>
                </c:pt>
                <c:pt idx="7">
                  <c:v>0.72</c:v>
                </c:pt>
                <c:pt idx="8">
                  <c:v>0.4861111111111111</c:v>
                </c:pt>
                <c:pt idx="9">
                  <c:v>0.49624060150375937</c:v>
                </c:pt>
              </c:numCache>
            </c:numRef>
          </c:val>
          <c:smooth val="0"/>
          <c:extLst>
            <c:ext xmlns:c16="http://schemas.microsoft.com/office/drawing/2014/chart" uri="{C3380CC4-5D6E-409C-BE32-E72D297353CC}">
              <c16:uniqueId val="{00000000-5D98-4FB5-937E-8CDF17C5641E}"/>
            </c:ext>
          </c:extLst>
        </c:ser>
        <c:ser>
          <c:idx val="1"/>
          <c:order val="1"/>
          <c:tx>
            <c:strRef>
              <c:f>'Team Sprints Input'!$E$54</c:f>
              <c:strCache>
                <c:ptCount val="1"/>
                <c:pt idx="0">
                  <c:v>Team 2</c:v>
                </c:pt>
              </c:strCache>
            </c:strRef>
          </c:tx>
          <c:spPr>
            <a:ln w="28575" cap="rnd">
              <a:solidFill>
                <a:schemeClr val="accent2"/>
              </a:solidFill>
              <a:round/>
            </a:ln>
            <a:effectLst/>
          </c:spPr>
          <c:marker>
            <c:symbol val="none"/>
          </c:marker>
          <c:cat>
            <c:strRef>
              <c:f>'Team Sprints Input'!$C$55:$C$64</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Input'!$E$55:$E$64</c:f>
              <c:numCache>
                <c:formatCode>0%</c:formatCode>
                <c:ptCount val="10"/>
                <c:pt idx="0">
                  <c:v>0</c:v>
                </c:pt>
                <c:pt idx="1">
                  <c:v>3.4482758620689655E-2</c:v>
                </c:pt>
                <c:pt idx="2">
                  <c:v>0.10256410256410256</c:v>
                </c:pt>
                <c:pt idx="3">
                  <c:v>9.2105263157894732E-2</c:v>
                </c:pt>
                <c:pt idx="4">
                  <c:v>0.1875</c:v>
                </c:pt>
                <c:pt idx="5">
                  <c:v>3.9215686274509803E-2</c:v>
                </c:pt>
                <c:pt idx="6">
                  <c:v>3.7037037037037035E-2</c:v>
                </c:pt>
                <c:pt idx="7">
                  <c:v>0.14545454545454545</c:v>
                </c:pt>
                <c:pt idx="8">
                  <c:v>0.21100917431192662</c:v>
                </c:pt>
                <c:pt idx="9">
                  <c:v>0.24</c:v>
                </c:pt>
              </c:numCache>
            </c:numRef>
          </c:val>
          <c:smooth val="0"/>
          <c:extLst>
            <c:ext xmlns:c16="http://schemas.microsoft.com/office/drawing/2014/chart" uri="{C3380CC4-5D6E-409C-BE32-E72D297353CC}">
              <c16:uniqueId val="{00000001-5D98-4FB5-937E-8CDF17C5641E}"/>
            </c:ext>
          </c:extLst>
        </c:ser>
        <c:ser>
          <c:idx val="2"/>
          <c:order val="2"/>
          <c:tx>
            <c:strRef>
              <c:f>'Team Sprints Input'!$F$54</c:f>
              <c:strCache>
                <c:ptCount val="1"/>
                <c:pt idx="0">
                  <c:v>Team 3</c:v>
                </c:pt>
              </c:strCache>
            </c:strRef>
          </c:tx>
          <c:spPr>
            <a:ln w="28575" cap="rnd">
              <a:solidFill>
                <a:schemeClr val="accent3"/>
              </a:solidFill>
              <a:round/>
            </a:ln>
            <a:effectLst/>
          </c:spPr>
          <c:marker>
            <c:symbol val="none"/>
          </c:marker>
          <c:cat>
            <c:strRef>
              <c:f>'Team Sprints Input'!$C$55:$C$64</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Input'!$F$55:$F$64</c:f>
              <c:numCache>
                <c:formatCode>0%</c:formatCode>
                <c:ptCount val="10"/>
                <c:pt idx="0">
                  <c:v>0.10526315789473684</c:v>
                </c:pt>
                <c:pt idx="1">
                  <c:v>0.14285714285714285</c:v>
                </c:pt>
                <c:pt idx="2">
                  <c:v>0.52941176470588236</c:v>
                </c:pt>
                <c:pt idx="3">
                  <c:v>0.2</c:v>
                </c:pt>
                <c:pt idx="4">
                  <c:v>0.22222222222222221</c:v>
                </c:pt>
                <c:pt idx="5">
                  <c:v>0.48</c:v>
                </c:pt>
                <c:pt idx="6">
                  <c:v>0.12307692307692308</c:v>
                </c:pt>
                <c:pt idx="7">
                  <c:v>0.1111111111111111</c:v>
                </c:pt>
                <c:pt idx="8">
                  <c:v>8.1081081081081086E-2</c:v>
                </c:pt>
                <c:pt idx="9">
                  <c:v>7.1428571428571425E-2</c:v>
                </c:pt>
              </c:numCache>
            </c:numRef>
          </c:val>
          <c:smooth val="0"/>
          <c:extLst>
            <c:ext xmlns:c16="http://schemas.microsoft.com/office/drawing/2014/chart" uri="{C3380CC4-5D6E-409C-BE32-E72D297353CC}">
              <c16:uniqueId val="{00000002-5D98-4FB5-937E-8CDF17C5641E}"/>
            </c:ext>
          </c:extLst>
        </c:ser>
        <c:ser>
          <c:idx val="3"/>
          <c:order val="3"/>
          <c:tx>
            <c:strRef>
              <c:f>'Team Sprints Input'!$G$54</c:f>
              <c:strCache>
                <c:ptCount val="1"/>
                <c:pt idx="0">
                  <c:v>Team 4</c:v>
                </c:pt>
              </c:strCache>
            </c:strRef>
          </c:tx>
          <c:spPr>
            <a:ln w="28575" cap="rnd">
              <a:solidFill>
                <a:schemeClr val="accent4"/>
              </a:solidFill>
              <a:round/>
            </a:ln>
            <a:effectLst/>
          </c:spPr>
          <c:marker>
            <c:symbol val="none"/>
          </c:marker>
          <c:cat>
            <c:strRef>
              <c:f>'Team Sprints Input'!$C$55:$C$64</c:f>
              <c:strCache>
                <c:ptCount val="10"/>
                <c:pt idx="0">
                  <c:v>Sprint 1</c:v>
                </c:pt>
                <c:pt idx="1">
                  <c:v>Sprint 2</c:v>
                </c:pt>
                <c:pt idx="2">
                  <c:v>Sprint 3</c:v>
                </c:pt>
                <c:pt idx="3">
                  <c:v>Sprint 4</c:v>
                </c:pt>
                <c:pt idx="4">
                  <c:v>Sprint 5</c:v>
                </c:pt>
                <c:pt idx="5">
                  <c:v>Sprint 6</c:v>
                </c:pt>
                <c:pt idx="6">
                  <c:v>Q2 Sprint 1</c:v>
                </c:pt>
                <c:pt idx="7">
                  <c:v>Q2 Sprint 2</c:v>
                </c:pt>
                <c:pt idx="8">
                  <c:v>Q2 Sprint 3</c:v>
                </c:pt>
                <c:pt idx="9">
                  <c:v>Q2 Sprint 4</c:v>
                </c:pt>
              </c:strCache>
            </c:strRef>
          </c:cat>
          <c:val>
            <c:numRef>
              <c:f>'Team Sprints Input'!$G$55:$G$64</c:f>
              <c:numCache>
                <c:formatCode>0%</c:formatCode>
                <c:ptCount val="10"/>
                <c:pt idx="0">
                  <c:v>0</c:v>
                </c:pt>
                <c:pt idx="1">
                  <c:v>0</c:v>
                </c:pt>
                <c:pt idx="2">
                  <c:v>2.7027027027027029E-2</c:v>
                </c:pt>
                <c:pt idx="3">
                  <c:v>4.2553191489361701E-2</c:v>
                </c:pt>
                <c:pt idx="4">
                  <c:v>0</c:v>
                </c:pt>
                <c:pt idx="5">
                  <c:v>0</c:v>
                </c:pt>
                <c:pt idx="6">
                  <c:v>2.1276595744680851E-2</c:v>
                </c:pt>
                <c:pt idx="7">
                  <c:v>3.2258064516129031E-2</c:v>
                </c:pt>
                <c:pt idx="8">
                  <c:v>0</c:v>
                </c:pt>
                <c:pt idx="9">
                  <c:v>0.33333333333333331</c:v>
                </c:pt>
              </c:numCache>
            </c:numRef>
          </c:val>
          <c:smooth val="0"/>
          <c:extLst>
            <c:ext xmlns:c16="http://schemas.microsoft.com/office/drawing/2014/chart" uri="{C3380CC4-5D6E-409C-BE32-E72D297353CC}">
              <c16:uniqueId val="{00000003-5D98-4FB5-937E-8CDF17C5641E}"/>
            </c:ext>
          </c:extLst>
        </c:ser>
        <c:dLbls>
          <c:showLegendKey val="0"/>
          <c:showVal val="0"/>
          <c:showCatName val="0"/>
          <c:showSerName val="0"/>
          <c:showPercent val="0"/>
          <c:showBubbleSize val="0"/>
        </c:dLbls>
        <c:smooth val="0"/>
        <c:axId val="1414542976"/>
        <c:axId val="1414541896"/>
      </c:lineChart>
      <c:catAx>
        <c:axId val="141454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1896"/>
        <c:crosses val="autoZero"/>
        <c:auto val="1"/>
        <c:lblAlgn val="ctr"/>
        <c:lblOffset val="100"/>
        <c:noMultiLvlLbl val="0"/>
      </c:catAx>
      <c:valAx>
        <c:axId val="1414541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4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11</xdr:row>
      <xdr:rowOff>203200</xdr:rowOff>
    </xdr:from>
    <xdr:to>
      <xdr:col>1</xdr:col>
      <xdr:colOff>333375</xdr:colOff>
      <xdr:row>13</xdr:row>
      <xdr:rowOff>9525</xdr:rowOff>
    </xdr:to>
    <xdr:pic>
      <xdr:nvPicPr>
        <xdr:cNvPr id="3" name="Graphic 2" descr="Alarm clock outline">
          <a:extLst>
            <a:ext uri="{FF2B5EF4-FFF2-40B4-BE49-F238E27FC236}">
              <a16:creationId xmlns:a16="http://schemas.microsoft.com/office/drawing/2014/main" id="{5855FFC1-C2D0-019C-7F52-FDF5718254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9250" y="2711450"/>
          <a:ext cx="260350" cy="260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274889</xdr:colOff>
      <xdr:row>0</xdr:row>
      <xdr:rowOff>249321</xdr:rowOff>
    </xdr:from>
    <xdr:to>
      <xdr:col>27</xdr:col>
      <xdr:colOff>577349</xdr:colOff>
      <xdr:row>11</xdr:row>
      <xdr:rowOff>158751</xdr:rowOff>
    </xdr:to>
    <xdr:graphicFrame macro="">
      <xdr:nvGraphicFramePr>
        <xdr:cNvPr id="3" name="Chart 2">
          <a:extLst>
            <a:ext uri="{FF2B5EF4-FFF2-40B4-BE49-F238E27FC236}">
              <a16:creationId xmlns:a16="http://schemas.microsoft.com/office/drawing/2014/main" id="{401DB9AF-1BFA-4601-86A4-E995E13D4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275723</xdr:colOff>
      <xdr:row>14</xdr:row>
      <xdr:rowOff>98924</xdr:rowOff>
    </xdr:from>
    <xdr:to>
      <xdr:col>28</xdr:col>
      <xdr:colOff>50130</xdr:colOff>
      <xdr:row>27</xdr:row>
      <xdr:rowOff>151730</xdr:rowOff>
    </xdr:to>
    <xdr:graphicFrame macro="">
      <xdr:nvGraphicFramePr>
        <xdr:cNvPr id="5" name="Chart 4">
          <a:extLst>
            <a:ext uri="{FF2B5EF4-FFF2-40B4-BE49-F238E27FC236}">
              <a16:creationId xmlns:a16="http://schemas.microsoft.com/office/drawing/2014/main" id="{32F7D921-06BC-4D53-5BC2-57D0819A6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409575</xdr:colOff>
      <xdr:row>52</xdr:row>
      <xdr:rowOff>130175</xdr:rowOff>
    </xdr:from>
    <xdr:to>
      <xdr:col>11</xdr:col>
      <xdr:colOff>625475</xdr:colOff>
      <xdr:row>70</xdr:row>
      <xdr:rowOff>130175</xdr:rowOff>
    </xdr:to>
    <xdr:graphicFrame macro="">
      <xdr:nvGraphicFramePr>
        <xdr:cNvPr id="2" name="Chart 3">
          <a:extLst>
            <a:ext uri="{FF2B5EF4-FFF2-40B4-BE49-F238E27FC236}">
              <a16:creationId xmlns:a16="http://schemas.microsoft.com/office/drawing/2014/main" id="{953E4A40-6EDF-E883-FF15-548D6B196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harma, Manish (VM)" id="{CAFC5C80-1929-4E18-8C52-7EB5ED26C943}" userId="S::WE245@erieinsurance.com::1c37a3f2-d07c-4f84-bfd0-a913e42b7c3b" providerId="AD"/>
  <person displayName="Dutta, Arunava (VM)" id="{261C714B-D800-4A5D-835D-A138ADF44128}" userId="S::XH291@erieinsurance.com::29e36747-be1b-475a-a552-26552d844a5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5E278-294A-4000-928C-5B9921D8385C}" name="Table1" displayName="Table1" ref="A1:G34" totalsRowShown="0" headerRowDxfId="2" headerRowBorderDxfId="0" tableBorderDxfId="1">
  <autoFilter ref="A1:G34" xr:uid="{0565E278-294A-4000-928C-5B9921D8385C}"/>
  <tableColumns count="7">
    <tableColumn id="1" xr3:uid="{DE491E67-AA1B-48BE-B9AB-0A04C0162A6D}" name="Date"/>
    <tableColumn id="2" xr3:uid="{FD1D150B-254F-43CF-A6E0-11B7BF179D0A}" name="Category"/>
    <tableColumn id="3" xr3:uid="{7D617EDC-9C06-4C9F-9840-FEB626EC366B}" name="Details"/>
    <tableColumn id="4" xr3:uid="{33AC25EA-ADC3-4617-AF1E-A4AFD134605D}" name="Updates"/>
    <tableColumn id="5" xr3:uid="{80A2760D-0E66-4789-957C-415CFD1C8F17}" name="Owner"/>
    <tableColumn id="6" xr3:uid="{9579B3B8-80E4-40F8-8648-7E4EF37D7ECD}" name="ETA"/>
    <tableColumn id="7" xr3:uid="{6C6B51D4-F1E0-4E8A-8C53-84701C5F9BEC}"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 dT="2026-06-25T15:22:13.50" personId="{261C714B-D800-4A5D-835D-A138ADF44128}" id="{CA0EB3D4-E22A-4255-ADBC-259B3297DC99}">
    <text>Release activities took priorities over sprint</text>
  </threadedComment>
  <threadedComment ref="G17" dT="2026-06-25T15:22:13.50" personId="{261C714B-D800-4A5D-835D-A138ADF44128}" id="{F6528E7E-2454-409B-BDE5-B4E3B42B78FD}">
    <text>Release activities took priorities over sprint</text>
  </threadedComment>
  <threadedComment ref="G18" dT="2026-06-25T15:22:13.50" personId="{261C714B-D800-4A5D-835D-A138ADF44128}" id="{A27D7659-A783-4151-B197-EE5A0CB033D4}">
    <text>Release activities took priorities over sprint</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6-03-24T13:07:33.33" personId="{CAFC5C80-1929-4E18-8C52-7EB5ED26C943}" id="{EF36D533-8176-4866-9F61-9DDF77DFF650}">
    <text>What is spent so far</text>
  </threadedComment>
  <threadedComment ref="C14" dT="2026-03-24T12:59:29.06" personId="{CAFC5C80-1929-4E18-8C52-7EB5ED26C943}" id="{3F1231AC-F79E-49B5-AFCC-3085F0094E49}">
    <text>Offshore holiday on 1/26 i.e. $7,680</text>
  </threadedComment>
  <threadedComment ref="B23" dT="2026-03-17T15:21:12.23" personId="{CAFC5C80-1929-4E18-8C52-7EB5ED26C943}" id="{DD17ED5E-0A99-4D43-A78B-7597112CE23B}">
    <text>This does not include team 1 points as they were into kanban</text>
  </threadedComment>
  <threadedComment ref="C23" dT="2026-03-17T15:21:33.60" personId="{CAFC5C80-1929-4E18-8C52-7EB5ED26C943}" id="{9914E31A-CB1F-4D14-9FD8-FF344D4A4A21}">
    <text>This includes team 1 points end of SP2.</text>
  </threadedComment>
  <threadedComment ref="G26" dT="2026-04-19T23:20:07.18" personId="{CAFC5C80-1929-4E18-8C52-7EB5ED26C943}" id="{962F2731-D23B-426B-A2A9-F215E4BB038D}">
    <text>Due to BRP, overall team delivered less points</text>
  </threadedComment>
  <threadedComment ref="A27" dT="2026-03-19T00:07:08.03" personId="{CAFC5C80-1929-4E18-8C52-7EB5ED26C943}" id="{C824288D-5E1F-40EF-93F2-75B5B68337D6}">
    <text>Need to have Innova and ERIE cost for this baseline cost</text>
  </threadedComment>
  <threadedComment ref="B29" dT="2026-03-19T02:19:18.22" personId="{CAFC5C80-1929-4E18-8C52-7EB5ED26C943}" id="{F2A6783D-48D5-4052-BF8E-9EDFB05336D9}">
    <text>This should be ignored as team 1 points not included here</text>
  </threadedComment>
</ThreadedComments>
</file>

<file path=xl/threadedComments/threadedComment3.xml><?xml version="1.0" encoding="utf-8"?>
<ThreadedComments xmlns="http://schemas.microsoft.com/office/spreadsheetml/2018/threadedcomments" xmlns:x="http://schemas.openxmlformats.org/spreadsheetml/2006/main">
  <threadedComment ref="H8" dT="2026-03-16T23:51:02.45" personId="{CAFC5C80-1929-4E18-8C52-7EB5ED26C943}" id="{7338BA63-A54E-47F4-8E98-00C26DDF99C5}">
    <text>No point assigned to bugs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9"/>
  <sheetViews>
    <sheetView showGridLines="0" zoomScaleNormal="100" workbookViewId="0">
      <selection activeCell="C7" sqref="C7"/>
    </sheetView>
  </sheetViews>
  <sheetFormatPr defaultColWidth="8.7109375" defaultRowHeight="14.45"/>
  <cols>
    <col min="1" max="1" width="4" customWidth="1"/>
    <col min="2" max="2" width="30" customWidth="1"/>
    <col min="3" max="3" width="112.85546875" customWidth="1"/>
  </cols>
  <sheetData>
    <row r="1" spans="2:3" ht="31.5" customHeight="1">
      <c r="B1" s="250" t="s">
        <v>0</v>
      </c>
      <c r="C1" s="251"/>
    </row>
    <row r="2" spans="2:3">
      <c r="B2" s="75"/>
      <c r="C2" s="76"/>
    </row>
    <row r="3" spans="2:3">
      <c r="B3" s="77" t="s">
        <v>1</v>
      </c>
      <c r="C3" s="78" t="s">
        <v>2</v>
      </c>
    </row>
    <row r="4" spans="2:3" ht="18" customHeight="1">
      <c r="B4" s="77" t="s">
        <v>3</v>
      </c>
      <c r="C4" s="78" t="s">
        <v>4</v>
      </c>
    </row>
    <row r="5" spans="2:3">
      <c r="B5" s="79"/>
      <c r="C5" s="78" t="s">
        <v>5</v>
      </c>
    </row>
    <row r="6" spans="2:3" ht="18" customHeight="1">
      <c r="B6" s="79"/>
      <c r="C6" s="78" t="s">
        <v>6</v>
      </c>
    </row>
    <row r="7" spans="2:3" ht="18" customHeight="1">
      <c r="B7" s="77" t="s">
        <v>7</v>
      </c>
      <c r="C7" s="78" t="s">
        <v>8</v>
      </c>
    </row>
    <row r="8" spans="2:3">
      <c r="B8" s="75"/>
      <c r="C8" s="76"/>
    </row>
    <row r="9" spans="2:3" ht="18" customHeight="1">
      <c r="B9" s="77" t="s">
        <v>9</v>
      </c>
      <c r="C9" s="78"/>
    </row>
    <row r="10" spans="2:3" ht="18" customHeight="1">
      <c r="B10" s="80" t="s">
        <v>10</v>
      </c>
      <c r="C10" s="81" t="s">
        <v>11</v>
      </c>
    </row>
    <row r="11" spans="2:3" ht="18" customHeight="1">
      <c r="B11" s="80" t="s">
        <v>12</v>
      </c>
      <c r="C11" s="81" t="s">
        <v>13</v>
      </c>
    </row>
    <row r="12" spans="2:3" ht="18" customHeight="1">
      <c r="B12" s="80" t="s">
        <v>14</v>
      </c>
      <c r="C12" s="81" t="s">
        <v>15</v>
      </c>
    </row>
    <row r="13" spans="2:3" ht="18" customHeight="1">
      <c r="B13" s="80" t="s">
        <v>16</v>
      </c>
      <c r="C13" s="81" t="s">
        <v>17</v>
      </c>
    </row>
    <row r="14" spans="2:3" ht="18" customHeight="1">
      <c r="B14" s="80" t="s">
        <v>18</v>
      </c>
      <c r="C14" s="81" t="s">
        <v>19</v>
      </c>
    </row>
    <row r="15" spans="2:3" ht="18" customHeight="1">
      <c r="B15" s="80" t="s">
        <v>20</v>
      </c>
      <c r="C15" s="81" t="s">
        <v>21</v>
      </c>
    </row>
    <row r="16" spans="2:3" ht="18" customHeight="1">
      <c r="B16" s="80" t="s">
        <v>22</v>
      </c>
      <c r="C16" s="81" t="s">
        <v>23</v>
      </c>
    </row>
    <row r="17" spans="2:3">
      <c r="B17" s="75"/>
      <c r="C17" s="76"/>
    </row>
    <row r="18" spans="2:3" ht="18" customHeight="1">
      <c r="B18" s="77" t="s">
        <v>24</v>
      </c>
      <c r="C18" s="78" t="s">
        <v>25</v>
      </c>
    </row>
    <row r="19" spans="2:3" ht="18" customHeight="1" thickBot="1">
      <c r="B19" s="82" t="s">
        <v>26</v>
      </c>
      <c r="C19" s="83" t="s">
        <v>27</v>
      </c>
    </row>
  </sheetData>
  <mergeCells count="1">
    <mergeCell ref="B1:C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2"/>
  <sheetViews>
    <sheetView showGridLines="0" topLeftCell="A4" zoomScale="76" zoomScaleNormal="76" workbookViewId="0">
      <selection activeCell="F18" sqref="F18"/>
    </sheetView>
  </sheetViews>
  <sheetFormatPr defaultColWidth="8.7109375" defaultRowHeight="14.45"/>
  <cols>
    <col min="1" max="1" width="42.140625" customWidth="1"/>
    <col min="2" max="2" width="24.42578125" customWidth="1"/>
    <col min="3" max="4" width="14" customWidth="1"/>
    <col min="5" max="5" width="18" customWidth="1"/>
    <col min="6" max="6" width="10.5703125" customWidth="1"/>
    <col min="7" max="7" width="14" customWidth="1"/>
    <col min="8" max="8" width="37" customWidth="1"/>
  </cols>
  <sheetData>
    <row r="1" spans="1:8" ht="31.5" customHeight="1">
      <c r="A1" s="249" t="s">
        <v>28</v>
      </c>
      <c r="B1" s="249"/>
      <c r="C1" s="249"/>
      <c r="D1" s="249"/>
      <c r="E1" s="249"/>
      <c r="F1" s="249"/>
      <c r="G1" s="249"/>
      <c r="H1" s="249"/>
    </row>
    <row r="2" spans="1:8" ht="20.45" customHeight="1">
      <c r="A2" s="254" t="s">
        <v>29</v>
      </c>
      <c r="B2" s="254"/>
      <c r="C2" s="254"/>
      <c r="D2" s="254"/>
      <c r="E2" s="254"/>
      <c r="F2" s="254"/>
      <c r="G2" s="254"/>
      <c r="H2" s="254"/>
    </row>
    <row r="4" spans="1:8" ht="21.75" customHeight="1">
      <c r="A4" s="1" t="s">
        <v>30</v>
      </c>
      <c r="B4" s="1" t="s">
        <v>31</v>
      </c>
      <c r="C4" s="1" t="s">
        <v>32</v>
      </c>
      <c r="D4" s="1" t="s">
        <v>33</v>
      </c>
      <c r="E4" s="1" t="s">
        <v>34</v>
      </c>
      <c r="F4" s="1" t="s">
        <v>35</v>
      </c>
      <c r="G4" s="1" t="s">
        <v>36</v>
      </c>
      <c r="H4" s="1" t="s">
        <v>37</v>
      </c>
    </row>
    <row r="5" spans="1:8" ht="18" customHeight="1">
      <c r="A5" s="253" t="s">
        <v>38</v>
      </c>
      <c r="B5" s="253"/>
      <c r="C5" s="253"/>
      <c r="D5" s="253"/>
      <c r="E5" s="253"/>
      <c r="F5" s="253"/>
      <c r="G5" s="253"/>
      <c r="H5" s="253"/>
    </row>
    <row r="6" spans="1:8">
      <c r="A6" s="2" t="s">
        <v>39</v>
      </c>
      <c r="B6" s="19">
        <f>'💵 Financial'!B8</f>
        <v>0.88415505954527518</v>
      </c>
      <c r="C6" s="19">
        <f>'💵 Financial'!C8</f>
        <v>0.91358828695434513</v>
      </c>
      <c r="D6" s="19">
        <f>'💵 Financial'!D8</f>
        <v>0.80146837333423848</v>
      </c>
      <c r="E6" s="19">
        <f>'💵 Financial'!E8</f>
        <v>0.82033533726766317</v>
      </c>
      <c r="F6" s="19">
        <f>'💵 Financial'!F8</f>
        <v>0.7529401407703763</v>
      </c>
      <c r="G6" s="19">
        <f>'💵 Financial'!G8</f>
        <v>0.93200612058861831</v>
      </c>
      <c r="H6" s="20" t="s">
        <v>40</v>
      </c>
    </row>
    <row r="7" spans="1:8" ht="17.100000000000001" customHeight="1">
      <c r="A7" s="2" t="s">
        <v>41</v>
      </c>
      <c r="B7" s="21" t="str">
        <f>'💵 Financial'!B9</f>
        <v>🟢 Green</v>
      </c>
      <c r="C7" s="21" t="str">
        <f>'💵 Financial'!C9</f>
        <v>🟢 Green</v>
      </c>
      <c r="D7" s="21" t="str">
        <f>'💵 Financial'!D9</f>
        <v>🟢 Green</v>
      </c>
      <c r="E7" s="21" t="str">
        <f>'💵 Financial'!E9</f>
        <v>🟢 Green</v>
      </c>
      <c r="F7" s="21" t="str">
        <f>'💵 Financial'!F9</f>
        <v>🟢 Green</v>
      </c>
      <c r="G7" s="21" t="str">
        <f>'💵 Financial'!G9</f>
        <v>🟢 Green</v>
      </c>
      <c r="H7" s="20" t="s">
        <v>42</v>
      </c>
    </row>
    <row r="8" spans="1:8" ht="11.45" customHeight="1">
      <c r="A8" s="70"/>
      <c r="B8" s="21"/>
      <c r="C8" s="21"/>
      <c r="D8" s="21"/>
      <c r="E8" s="21"/>
      <c r="F8" s="21"/>
      <c r="G8" s="21"/>
      <c r="H8" s="20"/>
    </row>
    <row r="9" spans="1:8">
      <c r="A9" s="2" t="s">
        <v>43</v>
      </c>
      <c r="B9" s="19">
        <f>'💵 Financial'!B16</f>
        <v>-4.7594876660341554E-2</v>
      </c>
      <c r="C9" s="19">
        <f>AVERAGE('💵 Financial'!C16,'💵 Financial'!D16)</f>
        <v>-4.0488614800759014E-2</v>
      </c>
      <c r="D9" s="19">
        <f>AVERAGE('💵 Financial'!E16,'💵 Financial'!G16)</f>
        <v>-0.12745967741935485</v>
      </c>
      <c r="E9" s="19">
        <f>AVERAGE('💵 Financial'!H16,'💵 Financial'!I16)</f>
        <v>-9.6597042263382629E-2</v>
      </c>
      <c r="F9" s="19">
        <f>AVERAGE('💵 Financial'!H16,'💵 Financial'!J16)</f>
        <v>-0.1213897890534513</v>
      </c>
      <c r="G9" s="19">
        <f>AVERAGE('💵 Financial'!I16,'💵 Financial'!K16)</f>
        <v>-0.32306727625140602</v>
      </c>
      <c r="H9" s="20" t="s">
        <v>44</v>
      </c>
    </row>
    <row r="10" spans="1:8">
      <c r="A10" s="2" t="s">
        <v>45</v>
      </c>
      <c r="B10" s="21" t="str">
        <f>'💵 Financial'!B17</f>
        <v>🟢 Green</v>
      </c>
      <c r="C10" s="21" t="str">
        <f>IF(C9="","",IF(ABS(C9)&lt;=0.05,"🟢 Green",IF(ABS(C9)&lt;=0.1,"🟡 Yellow","🔴 Red")))</f>
        <v>🟢 Green</v>
      </c>
      <c r="D10" s="64" t="str">
        <f>IF(D9="","",IF(ABS(D9)&lt;=0.05,"🟢 Green",IF(ABS(D9)&lt;=0.1,"🟡 Yellow","🔴 Red")))</f>
        <v>🔴 Red</v>
      </c>
      <c r="E10" s="64" t="str">
        <f>IF(E9="","",IF(ABS(E9)&lt;=0.05,"🟢 Green",IF(ABS(E9)&lt;=0.1,"🟡 Yellow","🔴 Red")))</f>
        <v>🟡 Yellow</v>
      </c>
      <c r="F10" s="64" t="str">
        <f>IF(F9="","",IF(ABS(F9)&lt;=0.05,"🟢 Green",IF(ABS(F9)&lt;=0.1,"🟡 Yellow","🔴 Red")))</f>
        <v>🔴 Red</v>
      </c>
      <c r="G10" s="64" t="str">
        <f>IF(G9="","",IF(ABS(G9)&lt;=0.05,"🟢 Green",IF(ABS(G9)&lt;=0.1,"🟡 Yellow","🔴 Red")))</f>
        <v>🔴 Red</v>
      </c>
      <c r="H10" s="20" t="s">
        <v>42</v>
      </c>
    </row>
    <row r="11" spans="1:8" ht="11.45" customHeight="1">
      <c r="A11" s="70"/>
      <c r="B11" s="21"/>
      <c r="C11" s="21"/>
      <c r="D11" s="64"/>
      <c r="E11" s="21"/>
      <c r="F11" s="21"/>
      <c r="G11" s="21"/>
      <c r="H11" s="20"/>
    </row>
    <row r="12" spans="1:8">
      <c r="A12" s="2" t="s">
        <v>46</v>
      </c>
      <c r="B12" s="10">
        <f>'💵 Financial'!B43</f>
        <v>2281.443181818182</v>
      </c>
      <c r="C12" s="10">
        <f>'💵 Financial'!B44</f>
        <v>979.39367370892023</v>
      </c>
      <c r="D12" s="10">
        <f>'💵 Financial'!B45</f>
        <v>880.60686157452483</v>
      </c>
      <c r="E12" s="10">
        <f>'💵 Financial'!B46</f>
        <v>835.6596877869606</v>
      </c>
      <c r="F12" s="10">
        <f>'💵 Financial'!B47</f>
        <v>593.01261904761907</v>
      </c>
      <c r="G12" s="10">
        <f>'💵 Financial'!B48</f>
        <v>526.12919463087246</v>
      </c>
      <c r="H12" s="20" t="s">
        <v>47</v>
      </c>
    </row>
    <row r="13" spans="1:8">
      <c r="A13" s="2" t="s">
        <v>48</v>
      </c>
      <c r="B13" s="21" t="s">
        <v>49</v>
      </c>
      <c r="C13" s="21" t="str">
        <f>'💵 Financial'!E44</f>
        <v>🟢 Green</v>
      </c>
      <c r="D13" s="21" t="str">
        <f>'💵 Financial'!E45</f>
        <v>🟢 Green</v>
      </c>
      <c r="E13" s="21" t="str">
        <f>'💵 Financial'!E46</f>
        <v>🟢 Green</v>
      </c>
      <c r="F13" s="21" t="str">
        <f>'💵 Financial'!E47</f>
        <v>🟢 Green</v>
      </c>
      <c r="G13" s="21" t="str">
        <f>'💵 Financial'!E48</f>
        <v>🟢 Green</v>
      </c>
      <c r="H13" s="20" t="s">
        <v>42</v>
      </c>
    </row>
    <row r="14" spans="1:8">
      <c r="A14" s="2" t="s">
        <v>50</v>
      </c>
      <c r="B14" s="10" t="str">
        <f>'💵 Financial'!B29</f>
        <v>NIL</v>
      </c>
      <c r="C14" s="10">
        <f>'💵 Financial'!D29</f>
        <v>979.39367370892023</v>
      </c>
      <c r="D14" s="10">
        <f>'💵 Financial'!G29</f>
        <v>920.12158642828308</v>
      </c>
      <c r="E14" s="10">
        <f>'💵 Financial'!H29</f>
        <v>892.33754791888612</v>
      </c>
      <c r="F14" s="10">
        <f>'💵 Financial'!J29</f>
        <v>872.43325484368745</v>
      </c>
      <c r="G14" s="10">
        <f>'💵 Financial'!L29</f>
        <v>794.82528451878477</v>
      </c>
      <c r="H14" s="20" t="s">
        <v>51</v>
      </c>
    </row>
    <row r="16" spans="1:8" ht="18" customHeight="1">
      <c r="A16" s="252" t="s">
        <v>52</v>
      </c>
      <c r="B16" s="252"/>
      <c r="C16" s="252"/>
      <c r="D16" s="252"/>
      <c r="E16" s="252"/>
      <c r="F16" s="252"/>
      <c r="G16" s="252"/>
      <c r="H16" s="252"/>
    </row>
    <row r="17" spans="1:8" ht="24.6" customHeight="1">
      <c r="A17" s="2" t="s">
        <v>53</v>
      </c>
      <c r="B17" s="19">
        <f>'🏃 Sprints'!C21</f>
        <v>1</v>
      </c>
      <c r="C17" s="19">
        <f>'🏃 Sprints'!C22</f>
        <v>0.97943037974683533</v>
      </c>
      <c r="D17" s="19">
        <f>'🏃 Sprints'!C23</f>
        <v>1.0559071729957805</v>
      </c>
      <c r="E17" s="19">
        <f>'🏃 Sprints'!C24</f>
        <v>0.86234177215189867</v>
      </c>
      <c r="F17" s="19">
        <f>'🏃 Sprints'!C25</f>
        <v>0.42052176185759876</v>
      </c>
      <c r="G17" s="19">
        <f>'🏃 Sprints'!I21</f>
        <v>0.4790447647590505</v>
      </c>
      <c r="H17" s="20" t="s">
        <v>54</v>
      </c>
    </row>
    <row r="18" spans="1:8">
      <c r="A18" s="2" t="s">
        <v>55</v>
      </c>
      <c r="B18" s="19" t="str">
        <f>'🏃 Sprints'!D21</f>
        <v>🟢 Green</v>
      </c>
      <c r="C18" s="19" t="str">
        <f>'🏃 Sprints'!D22</f>
        <v>🟢 Green</v>
      </c>
      <c r="D18" s="19" t="str">
        <f>'🏃 Sprints'!D23</f>
        <v>🟢 Green</v>
      </c>
      <c r="E18" s="19" t="str">
        <f>'🏃 Sprints'!D24</f>
        <v>🟢 Green</v>
      </c>
      <c r="F18" s="19" t="str">
        <f>'🏃 Sprints'!D25</f>
        <v>🔴 Red</v>
      </c>
      <c r="G18" s="19" t="str">
        <f>'🏃 Sprints'!J21</f>
        <v>🔴 Red</v>
      </c>
      <c r="H18" s="20" t="s">
        <v>56</v>
      </c>
    </row>
    <row r="20" spans="1:8">
      <c r="A20" s="2" t="s">
        <v>57</v>
      </c>
      <c r="B20" s="17">
        <f>'🏃 Sprints'!C30</f>
        <v>5.3</v>
      </c>
      <c r="C20" s="17">
        <f>AVERAGE('🏃 Sprints'!C31,'🏃 Sprints'!C32)</f>
        <v>4.5287500000000005</v>
      </c>
      <c r="D20" s="17">
        <f>AVERAGE('🏃 Sprints'!C33,'🏃 Sprints'!C35)</f>
        <v>5.1825000000000001</v>
      </c>
      <c r="E20" s="17">
        <f>AVERAGE('🏃 Sprints'!C36,'🏃 Sprints'!C37)</f>
        <v>4.5175000000000001</v>
      </c>
      <c r="F20" s="17">
        <f>AVERAGE('🏃 Sprints'!C38,'🏃 Sprints'!C39)</f>
        <v>4.7345833333333331</v>
      </c>
      <c r="G20" s="17">
        <f>AVERAGE('🏃 Sprints'!C40,'🏃 Sprints'!C41)</f>
        <v>7.62</v>
      </c>
      <c r="H20" s="20" t="s">
        <v>58</v>
      </c>
    </row>
    <row r="21" spans="1:8">
      <c r="A21" s="2" t="s">
        <v>59</v>
      </c>
      <c r="B21" s="21" t="str">
        <f>'🏃 Sprints'!G30</f>
        <v>🟢 Green</v>
      </c>
      <c r="C21" s="17" t="str">
        <f>IF(AVERAGE('🏃 Sprints'!F31,'🏃 Sprints'!F32)&lt;=0, "🟢 Green", IF(AVERAGE('🏃 Sprints'!F31,'🏃 Sprints'!F32)&lt;=10%, "🟢 Yellow", "🔴 Red"))</f>
        <v>🟢 Green</v>
      </c>
      <c r="D21" s="17" t="str">
        <f>IF(AVERAGE('🏃 Sprints'!F33,'🏃 Sprints'!F35)&lt;=0, "🟢 Green", IF(AVERAGE('🏃 Sprints'!F33,'🏃 Sprints'!F35)&lt;=10%, "🟢 Yellow", "🔴 Red"))</f>
        <v>🟢 Green</v>
      </c>
      <c r="E21" s="17" t="str">
        <f>IF(AVERAGE('🏃 Sprints'!F36,'🏃 Sprints'!F37)&lt;=0, "🟢 Green", IF(AVERAGE('🏃 Sprints'!F36,'🏃 Sprints'!F37)&lt;=10%, "🟢 Yellow", "🔴 Red"))</f>
        <v>🟢 Green</v>
      </c>
      <c r="F21" s="17" t="str">
        <f>IF(AVERAGE('🏃 Sprints'!F38,'🏃 Sprints'!F39)&lt;=0, "🟢 Green", IF(AVERAGE('🏃 Sprints'!F38,'🏃 Sprints'!F39)&lt;=10%, "🟢 Yellow", "🔴 Red"))</f>
        <v>🟢 Green</v>
      </c>
      <c r="G21" s="17" t="str">
        <f>IF(AVERAGE('🏃 Sprints'!F40,'🏃 Sprints'!F41)&lt;=0, "🟢 Green", IF(AVERAGE('🏃 Sprints'!F40,'🏃 Sprints'!F41)&lt;=10%, "🟢 Yellow", "🔴 Red"))</f>
        <v>🔴 Red</v>
      </c>
      <c r="H21" s="20" t="s">
        <v>56</v>
      </c>
    </row>
    <row r="23" spans="1:8" ht="18" customHeight="1">
      <c r="A23" s="252" t="s">
        <v>60</v>
      </c>
      <c r="B23" s="252"/>
      <c r="C23" s="252"/>
      <c r="D23" s="252"/>
      <c r="E23" s="252"/>
      <c r="F23" s="252"/>
      <c r="G23" s="252"/>
      <c r="H23" s="252"/>
    </row>
    <row r="24" spans="1:8">
      <c r="A24" s="2" t="s">
        <v>61</v>
      </c>
      <c r="B24" s="19"/>
      <c r="C24" s="19"/>
      <c r="D24" s="19">
        <f>'🐛 Quality'!D20</f>
        <v>0.17647058823529413</v>
      </c>
      <c r="E24" s="19">
        <f>'🐛 Quality'!D21</f>
        <v>1.5228426395939087E-2</v>
      </c>
      <c r="F24" s="19">
        <f>'🐛 Quality'!D22</f>
        <v>2.5862068965517241E-2</v>
      </c>
      <c r="G24" s="19">
        <f>'🐛 Quality'!D23</f>
        <v>9.0909090909090912E-2</v>
      </c>
      <c r="H24" s="20" t="s">
        <v>62</v>
      </c>
    </row>
    <row r="25" spans="1:8">
      <c r="A25" s="2" t="s">
        <v>63</v>
      </c>
      <c r="B25" s="21"/>
      <c r="C25" s="21"/>
      <c r="D25" s="129" t="str">
        <f>'🐛 Quality'!E20</f>
        <v>🔴 Red</v>
      </c>
      <c r="E25" s="17" t="str">
        <f>'🐛 Quality'!E21</f>
        <v>🟢 Green</v>
      </c>
      <c r="F25" s="17" t="str">
        <f>'🐛 Quality'!E22</f>
        <v>🟢 Green</v>
      </c>
      <c r="G25" s="17" t="str">
        <f>'🐛 Quality'!E23</f>
        <v>🟢 Green</v>
      </c>
      <c r="H25" s="20" t="s">
        <v>64</v>
      </c>
    </row>
    <row r="26" spans="1:8">
      <c r="A26" s="2"/>
      <c r="B26" s="21"/>
      <c r="C26" s="21"/>
      <c r="D26" s="21"/>
      <c r="E26" s="21"/>
      <c r="F26" s="21"/>
      <c r="G26" s="21"/>
      <c r="H26" s="20"/>
    </row>
    <row r="27" spans="1:8" ht="19.5" customHeight="1">
      <c r="A27" s="2" t="s">
        <v>65</v>
      </c>
      <c r="B27" s="53">
        <f>'🐛 Quality'!E28</f>
        <v>3.4482758620689655E-2</v>
      </c>
      <c r="C27" s="53">
        <f>AVERAGE('🐛 Quality'!E29:E30)</f>
        <v>0.21649781257195488</v>
      </c>
      <c r="D27" s="53">
        <f>AVERAGE('🐛 Quality'!E31:E33)</f>
        <v>0.21502271460707803</v>
      </c>
      <c r="E27" s="53">
        <f>AVERAGE('🐛 Quality'!E34:E35)</f>
        <v>0.27454630060493251</v>
      </c>
      <c r="F27" s="53">
        <f>AVERAGE('🐛 Quality'!E36:E37)</f>
        <v>0.27676394293125811</v>
      </c>
      <c r="G27" s="53">
        <f>AVERAGE('🐛 Quality'!E38:E39)</f>
        <v>0.34473092419652063</v>
      </c>
      <c r="H27" s="20" t="s">
        <v>64</v>
      </c>
    </row>
    <row r="28" spans="1:8">
      <c r="A28" s="2" t="s">
        <v>66</v>
      </c>
      <c r="B28" s="19" t="str">
        <f>IF(B27="","",IF(B27&lt;=0.2,"🟢 Green",IF(B27&lt;=0.3,"🟡 Yellow","🔴 Red")))</f>
        <v>🟢 Green</v>
      </c>
      <c r="C28" s="118" t="str">
        <f>IF(C27="","",IF(C27&lt;=0.2,"🟢 Green",IF(C27&lt;=0.3,"🟡 Yellow","🔴 Red")))</f>
        <v>🟡 Yellow</v>
      </c>
      <c r="D28" s="118" t="str">
        <f>IF(D27="","",IF(D27&lt;=0.2,"🟢 Green",IF(D27&lt;=0.3,"🟡 Yellow","🔴 Red")))</f>
        <v>🟡 Yellow</v>
      </c>
      <c r="E28" s="118" t="str">
        <f>IF(E27="","",IF(E27&lt;=0.2,"🟢 Green",IF(E27&lt;=0.3,"🟡 Yellow","🔴 Red")))</f>
        <v>🟡 Yellow</v>
      </c>
      <c r="F28" s="118" t="str">
        <f>IF(F27="","",IF(F27&lt;=0.2,"🟢 Green",IF(F27&lt;=0.3,"🟡 Yellow","🔴 Red")))</f>
        <v>🟡 Yellow</v>
      </c>
      <c r="G28" s="118" t="str">
        <f>IF(G27="","",IF(G27&lt;=0.2,"🟢 Green",IF(G27&lt;=0.3,"🟡 Yellow","🔴 Red")))</f>
        <v>🔴 Red</v>
      </c>
      <c r="H28" s="20" t="s">
        <v>67</v>
      </c>
    </row>
    <row r="29" spans="1:8">
      <c r="A29" s="128"/>
      <c r="B29" s="21"/>
      <c r="C29" s="21"/>
      <c r="D29" s="21"/>
      <c r="E29" s="21"/>
      <c r="F29" s="21"/>
      <c r="G29" s="21"/>
      <c r="H29" s="20"/>
    </row>
    <row r="30" spans="1:8">
      <c r="A30" s="2" t="s">
        <v>68</v>
      </c>
      <c r="C30" s="21"/>
      <c r="D30" s="53">
        <f>AVERAGE('🐛 Quality'!E51:E52)</f>
        <v>0.86363636363636354</v>
      </c>
      <c r="E30" s="53">
        <f>AVERAGE('🐛 Quality'!E53:E54)</f>
        <v>0.82600437435248075</v>
      </c>
      <c r="F30" s="53">
        <f>AVERAGE('🐛 Quality'!E55:E56)</f>
        <v>0.82620663167328123</v>
      </c>
      <c r="G30" s="53">
        <f>AVERAGE('🐛 Quality'!E57:E58)</f>
        <v>0.82205882352941173</v>
      </c>
      <c r="H30" s="20"/>
    </row>
    <row r="31" spans="1:8">
      <c r="A31" s="2" t="s">
        <v>69</v>
      </c>
      <c r="B31" s="21"/>
      <c r="C31" s="21"/>
      <c r="D31" s="118" t="str">
        <f>IF(D30="","",IF(D30&gt;=95%,"🟢 Green",IF(D30&gt;85%,"🟡 Yellow","🔴 Red")))</f>
        <v>🟡 Yellow</v>
      </c>
      <c r="E31" s="129" t="str">
        <f>IF(E30="","",IF(E30&gt;=95%,"🟢 Green",IF(E30&gt;85%,"🟡 Yellow","🔴 Red")))</f>
        <v>🔴 Red</v>
      </c>
      <c r="F31" s="129" t="str">
        <f>IF(F30="","",IF(F30&gt;=95%,"🟢 Green",IF(F30&gt;85%,"🟡 Yellow","🔴 Red")))</f>
        <v>🔴 Red</v>
      </c>
      <c r="G31" s="129" t="str">
        <f>IF(G30="","",IF(G30&gt;=95%,"🟢 Green",IF(G30&gt;85%,"🟡 Yellow","🔴 Red")))</f>
        <v>🔴 Red</v>
      </c>
      <c r="H31" s="20" t="s">
        <v>70</v>
      </c>
    </row>
    <row r="33" spans="1:8" ht="18" customHeight="1">
      <c r="A33" s="252" t="s">
        <v>71</v>
      </c>
      <c r="B33" s="252"/>
      <c r="C33" s="252"/>
      <c r="D33" s="252"/>
      <c r="E33" s="252"/>
      <c r="F33" s="252"/>
      <c r="G33" s="252"/>
      <c r="H33" s="252"/>
    </row>
    <row r="34" spans="1:8" ht="21.75" customHeight="1">
      <c r="A34" s="1" t="s">
        <v>30</v>
      </c>
      <c r="B34" s="1" t="s">
        <v>72</v>
      </c>
      <c r="C34" s="1" t="s">
        <v>73</v>
      </c>
      <c r="D34" s="1" t="s">
        <v>69</v>
      </c>
      <c r="E34" s="257" t="s">
        <v>74</v>
      </c>
      <c r="F34" s="258"/>
    </row>
    <row r="35" spans="1:8" ht="19.5" customHeight="1">
      <c r="A35" s="22" t="s">
        <v>75</v>
      </c>
      <c r="B35" s="23">
        <f>G6</f>
        <v>0.93200612058861831</v>
      </c>
      <c r="C35" s="24" t="s">
        <v>76</v>
      </c>
      <c r="D35" s="130" t="str">
        <f>F7</f>
        <v>🟢 Green</v>
      </c>
      <c r="E35" s="256" t="s">
        <v>77</v>
      </c>
      <c r="F35" s="256"/>
    </row>
    <row r="36" spans="1:8" ht="36.6" customHeight="1">
      <c r="A36" s="25" t="s">
        <v>78</v>
      </c>
      <c r="B36" s="26">
        <f>G9</f>
        <v>-0.32306727625140602</v>
      </c>
      <c r="C36" s="27" t="s">
        <v>79</v>
      </c>
      <c r="D36" s="131" t="str">
        <f>G10</f>
        <v>🔴 Red</v>
      </c>
      <c r="E36" s="255" t="s">
        <v>80</v>
      </c>
      <c r="F36" s="255"/>
    </row>
    <row r="37" spans="1:8" ht="19.5" customHeight="1">
      <c r="A37" s="22" t="s">
        <v>81</v>
      </c>
      <c r="B37" s="28">
        <f>G12</f>
        <v>526.12919463087246</v>
      </c>
      <c r="C37" s="135">
        <v>983</v>
      </c>
      <c r="D37" s="130" t="str">
        <f>G13</f>
        <v>🟢 Green</v>
      </c>
      <c r="E37" s="256"/>
      <c r="F37" s="256"/>
    </row>
    <row r="38" spans="1:8" ht="42.6" customHeight="1">
      <c r="A38" s="25" t="s">
        <v>82</v>
      </c>
      <c r="B38" s="26">
        <f>G17</f>
        <v>0.4790447647590505</v>
      </c>
      <c r="C38" s="27" t="s">
        <v>83</v>
      </c>
      <c r="D38" s="132" t="str">
        <f>G18</f>
        <v>🔴 Red</v>
      </c>
      <c r="E38" s="255" t="s">
        <v>84</v>
      </c>
      <c r="F38" s="255"/>
    </row>
    <row r="39" spans="1:8" ht="37.5" customHeight="1">
      <c r="A39" s="22" t="s">
        <v>85</v>
      </c>
      <c r="B39" s="29">
        <f>G20</f>
        <v>7.62</v>
      </c>
      <c r="C39" s="24" t="s">
        <v>86</v>
      </c>
      <c r="D39" s="133" t="str">
        <f>G21</f>
        <v>🔴 Red</v>
      </c>
      <c r="E39" s="256"/>
      <c r="F39" s="256"/>
    </row>
    <row r="40" spans="1:8" ht="19.5" customHeight="1">
      <c r="A40" s="25" t="s">
        <v>87</v>
      </c>
      <c r="B40" s="26">
        <f>G24</f>
        <v>9.0909090909090912E-2</v>
      </c>
      <c r="C40" s="27" t="s">
        <v>88</v>
      </c>
      <c r="D40" s="133" t="str">
        <f>G25</f>
        <v>🟢 Green</v>
      </c>
      <c r="E40" s="255"/>
      <c r="F40" s="255"/>
    </row>
    <row r="41" spans="1:8" ht="39.950000000000003" customHeight="1">
      <c r="A41" s="22" t="s">
        <v>89</v>
      </c>
      <c r="B41" s="71">
        <f>G27</f>
        <v>0.34473092419652063</v>
      </c>
      <c r="C41" s="24" t="s">
        <v>90</v>
      </c>
      <c r="D41" s="118" t="str">
        <f>G28</f>
        <v>🔴 Red</v>
      </c>
      <c r="E41" s="256" t="s">
        <v>91</v>
      </c>
      <c r="F41" s="256"/>
    </row>
    <row r="42" spans="1:8" ht="28.5" customHeight="1">
      <c r="A42" s="25" t="s">
        <v>92</v>
      </c>
      <c r="B42" s="26">
        <f>G30</f>
        <v>0.82205882352941173</v>
      </c>
      <c r="C42" s="27" t="s">
        <v>93</v>
      </c>
      <c r="D42" s="134" t="str">
        <f>G31</f>
        <v>🔴 Red</v>
      </c>
      <c r="E42" s="255" t="s">
        <v>94</v>
      </c>
      <c r="F42" s="255"/>
    </row>
  </sheetData>
  <mergeCells count="15">
    <mergeCell ref="E40:F40"/>
    <mergeCell ref="E41:F41"/>
    <mergeCell ref="E37:F37"/>
    <mergeCell ref="E42:F42"/>
    <mergeCell ref="E34:F34"/>
    <mergeCell ref="E35:F35"/>
    <mergeCell ref="E36:F36"/>
    <mergeCell ref="E38:F38"/>
    <mergeCell ref="E39:F39"/>
    <mergeCell ref="A33:H33"/>
    <mergeCell ref="A23:H23"/>
    <mergeCell ref="A16:H16"/>
    <mergeCell ref="A5:H5"/>
    <mergeCell ref="A1:H1"/>
    <mergeCell ref="A2:H2"/>
  </mergeCells>
  <pageMargins left="0.25" right="0.25" top="0" bottom="0" header="0" footer="0"/>
  <pageSetup paperSize="9" scale="74"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8"/>
  <sheetViews>
    <sheetView showGridLines="0" topLeftCell="A11" zoomScale="76" zoomScaleNormal="76" workbookViewId="0">
      <selection activeCell="L25" sqref="L25"/>
    </sheetView>
  </sheetViews>
  <sheetFormatPr defaultColWidth="8.7109375" defaultRowHeight="14.45"/>
  <cols>
    <col min="1" max="1" width="47.28515625" customWidth="1"/>
    <col min="2" max="2" width="17.5703125" customWidth="1"/>
    <col min="3" max="3" width="19.140625" customWidth="1"/>
    <col min="4" max="4" width="16.28515625" customWidth="1"/>
    <col min="5" max="10" width="14" customWidth="1"/>
    <col min="11" max="11" width="18" customWidth="1"/>
    <col min="12" max="12" width="22" customWidth="1"/>
    <col min="13" max="13" width="14.28515625" customWidth="1"/>
    <col min="14" max="14" width="28" customWidth="1"/>
  </cols>
  <sheetData>
    <row r="1" spans="1:18" ht="27.75" customHeight="1">
      <c r="A1" s="260" t="s">
        <v>95</v>
      </c>
      <c r="B1" s="260"/>
      <c r="C1" s="260"/>
      <c r="D1" s="260"/>
      <c r="E1" s="260"/>
      <c r="F1" s="260"/>
      <c r="G1" s="260"/>
      <c r="H1" s="260"/>
      <c r="I1" s="260"/>
      <c r="J1" s="260"/>
      <c r="K1" s="260"/>
    </row>
    <row r="2" spans="1:18" ht="14.45" customHeight="1">
      <c r="A2" s="261" t="s">
        <v>96</v>
      </c>
      <c r="B2" s="261"/>
      <c r="C2" s="261"/>
      <c r="D2" s="261"/>
      <c r="E2" s="261"/>
      <c r="F2" s="261"/>
      <c r="G2" s="261"/>
      <c r="H2" s="261"/>
      <c r="I2" s="261"/>
      <c r="J2" s="261"/>
      <c r="K2" s="261"/>
    </row>
    <row r="4" spans="1:18" ht="19.5" customHeight="1">
      <c r="A4" s="262" t="s">
        <v>97</v>
      </c>
      <c r="B4" s="262"/>
      <c r="C4" s="262"/>
      <c r="D4" s="262"/>
      <c r="E4" s="262"/>
      <c r="F4" s="262"/>
      <c r="G4" s="262"/>
      <c r="H4" s="262"/>
      <c r="I4" s="262"/>
      <c r="J4" s="262"/>
      <c r="K4" s="263"/>
    </row>
    <row r="5" spans="1:18" ht="19.5" customHeight="1">
      <c r="A5" s="1" t="s">
        <v>98</v>
      </c>
      <c r="B5" s="1" t="s">
        <v>31</v>
      </c>
      <c r="C5" s="1" t="s">
        <v>32</v>
      </c>
      <c r="D5" s="1" t="s">
        <v>33</v>
      </c>
      <c r="E5" s="1" t="s">
        <v>34</v>
      </c>
      <c r="F5" s="1" t="s">
        <v>35</v>
      </c>
      <c r="G5" s="1" t="s">
        <v>36</v>
      </c>
      <c r="H5" s="1" t="s">
        <v>99</v>
      </c>
      <c r="I5" s="1"/>
      <c r="J5" s="1" t="s">
        <v>100</v>
      </c>
    </row>
    <row r="6" spans="1:18" ht="18" customHeight="1">
      <c r="A6" s="2" t="s">
        <v>101</v>
      </c>
      <c r="B6" s="3">
        <v>471406</v>
      </c>
      <c r="C6" s="3">
        <v>471406</v>
      </c>
      <c r="D6" s="3">
        <v>471406</v>
      </c>
      <c r="E6" s="3">
        <v>471406</v>
      </c>
      <c r="F6" s="3">
        <v>471406</v>
      </c>
      <c r="G6" s="3">
        <v>399308</v>
      </c>
      <c r="H6" s="3"/>
      <c r="I6" s="123"/>
      <c r="J6" s="4" t="s">
        <v>102</v>
      </c>
    </row>
    <row r="7" spans="1:18">
      <c r="A7" s="2" t="s">
        <v>103</v>
      </c>
      <c r="B7" s="59">
        <v>416796</v>
      </c>
      <c r="C7" s="59">
        <v>430671</v>
      </c>
      <c r="D7" s="59">
        <v>377817</v>
      </c>
      <c r="E7" s="59">
        <v>386711</v>
      </c>
      <c r="F7" s="59">
        <v>354940.5</v>
      </c>
      <c r="G7" s="59">
        <v>372157.5</v>
      </c>
      <c r="H7" s="59"/>
      <c r="I7" s="124"/>
      <c r="J7" s="4" t="s">
        <v>104</v>
      </c>
    </row>
    <row r="8" spans="1:18" ht="18" customHeight="1">
      <c r="A8" s="2" t="s">
        <v>105</v>
      </c>
      <c r="B8" s="5">
        <f>B7/B6</f>
        <v>0.88415505954527518</v>
      </c>
      <c r="C8" s="5">
        <f>C7/C6</f>
        <v>0.91358828695434513</v>
      </c>
      <c r="D8" s="5">
        <f>D7/D6</f>
        <v>0.80146837333423848</v>
      </c>
      <c r="E8" s="5">
        <f>E7/E6</f>
        <v>0.82033533726766317</v>
      </c>
      <c r="F8" s="5">
        <f>IFERROR(F7/F6,"")</f>
        <v>0.7529401407703763</v>
      </c>
      <c r="G8" s="5">
        <f>IFERROR(G7/G6,"")</f>
        <v>0.93200612058861831</v>
      </c>
      <c r="H8" s="5"/>
      <c r="I8" s="88"/>
      <c r="J8" s="4" t="s">
        <v>106</v>
      </c>
    </row>
    <row r="9" spans="1:18" ht="18" customHeight="1">
      <c r="A9" s="2" t="s">
        <v>41</v>
      </c>
      <c r="B9" s="6" t="str">
        <f>IF(B8="","",IF(B8&lt;=1,"🟢 Green",IF(B8&lt;=1.05,"🟡 Yellow","🔴 Red")))</f>
        <v>🟢 Green</v>
      </c>
      <c r="C9" s="6" t="str">
        <f t="shared" ref="C9:F9" si="0">IF(C8="","",IF(C8&lt;=1,"🟢 Green",IF(C8&lt;=1.05,"🟡 Yellow","🔴 Red")))</f>
        <v>🟢 Green</v>
      </c>
      <c r="D9" s="6" t="str">
        <f t="shared" si="0"/>
        <v>🟢 Green</v>
      </c>
      <c r="E9" s="6" t="str">
        <f t="shared" si="0"/>
        <v>🟢 Green</v>
      </c>
      <c r="F9" s="6" t="str">
        <f t="shared" si="0"/>
        <v>🟢 Green</v>
      </c>
      <c r="G9" s="6" t="str">
        <f>IF(G8="","",IF(G8&lt;=1,"🟢 Green",IF(G8&lt;=1.05,"🟡 Yellow","🔴 Red")))</f>
        <v>🟢 Green</v>
      </c>
      <c r="H9" s="6"/>
      <c r="I9" s="66"/>
      <c r="J9" s="4" t="s">
        <v>107</v>
      </c>
    </row>
    <row r="11" spans="1:18" ht="19.5" customHeight="1">
      <c r="A11" s="262" t="s">
        <v>108</v>
      </c>
      <c r="B11" s="262"/>
      <c r="C11" s="262"/>
      <c r="D11" s="262"/>
      <c r="E11" s="262"/>
      <c r="F11" s="262"/>
      <c r="G11" s="262"/>
      <c r="H11" s="262"/>
      <c r="I11" s="262"/>
      <c r="J11" s="262"/>
      <c r="K11" s="263"/>
    </row>
    <row r="12" spans="1:18" ht="19.5" customHeight="1">
      <c r="A12" s="1" t="s">
        <v>98</v>
      </c>
      <c r="B12" s="1" t="s">
        <v>109</v>
      </c>
      <c r="C12" s="1" t="s">
        <v>110</v>
      </c>
      <c r="D12" s="1" t="s">
        <v>111</v>
      </c>
      <c r="E12" s="1" t="s">
        <v>112</v>
      </c>
      <c r="F12" s="1" t="s">
        <v>113</v>
      </c>
      <c r="G12" s="1" t="s">
        <v>114</v>
      </c>
      <c r="H12" s="1" t="s">
        <v>115</v>
      </c>
      <c r="I12" s="1" t="s">
        <v>116</v>
      </c>
      <c r="J12" s="1" t="s">
        <v>117</v>
      </c>
      <c r="K12" s="1" t="s">
        <v>118</v>
      </c>
      <c r="L12" s="1" t="s">
        <v>119</v>
      </c>
      <c r="M12" s="1" t="s">
        <v>120</v>
      </c>
      <c r="N12" s="1" t="s">
        <v>100</v>
      </c>
    </row>
    <row r="13" spans="1:18">
      <c r="A13" s="2" t="s">
        <v>121</v>
      </c>
      <c r="B13" s="3">
        <v>210800</v>
      </c>
      <c r="C13" s="3">
        <v>210800</v>
      </c>
      <c r="D13" s="3">
        <v>210800</v>
      </c>
      <c r="E13" s="3">
        <v>210800</v>
      </c>
      <c r="F13" s="3">
        <v>210800</v>
      </c>
      <c r="G13" s="3">
        <v>210800</v>
      </c>
      <c r="H13" s="3">
        <v>210800</v>
      </c>
      <c r="I13" s="3">
        <v>192960</v>
      </c>
      <c r="J13" s="3">
        <v>190960</v>
      </c>
      <c r="K13" s="3">
        <v>190960</v>
      </c>
      <c r="L13" s="3">
        <v>190560</v>
      </c>
      <c r="M13" s="3">
        <v>190560</v>
      </c>
      <c r="N13" s="4" t="s">
        <v>122</v>
      </c>
      <c r="Q13" s="51" t="s">
        <v>123</v>
      </c>
      <c r="R13" t="s">
        <v>124</v>
      </c>
    </row>
    <row r="14" spans="1:18">
      <c r="A14" s="2" t="s">
        <v>125</v>
      </c>
      <c r="B14" s="3">
        <v>200767</v>
      </c>
      <c r="C14" s="3">
        <v>195257</v>
      </c>
      <c r="D14" s="3">
        <v>209273</v>
      </c>
      <c r="E14" s="3">
        <v>198914</v>
      </c>
      <c r="F14" s="3">
        <v>182912</v>
      </c>
      <c r="G14" s="3">
        <v>168949</v>
      </c>
      <c r="H14" s="3">
        <v>182327</v>
      </c>
      <c r="I14" s="3">
        <v>181744.6</v>
      </c>
      <c r="J14" s="3">
        <v>170392</v>
      </c>
      <c r="K14" s="3">
        <v>78673.3</v>
      </c>
      <c r="L14" s="3">
        <v>156786.5</v>
      </c>
      <c r="M14" s="3">
        <v>167721.60000000001</v>
      </c>
      <c r="N14" s="4" t="s">
        <v>126</v>
      </c>
      <c r="Q14" s="51" t="s">
        <v>127</v>
      </c>
      <c r="R14" t="s">
        <v>128</v>
      </c>
    </row>
    <row r="15" spans="1:18" ht="18" customHeight="1">
      <c r="A15" s="2" t="s">
        <v>129</v>
      </c>
      <c r="B15" s="7">
        <f t="shared" ref="B15:H15" si="1">IF(B14="","",B14-B13)</f>
        <v>-10033</v>
      </c>
      <c r="C15" s="7">
        <f>IF(C14="","",C14-C13)</f>
        <v>-15543</v>
      </c>
      <c r="D15" s="7">
        <f t="shared" si="1"/>
        <v>-1527</v>
      </c>
      <c r="E15" s="7">
        <f t="shared" si="1"/>
        <v>-11886</v>
      </c>
      <c r="F15" s="7">
        <f t="shared" si="1"/>
        <v>-27888</v>
      </c>
      <c r="G15" s="7">
        <f t="shared" si="1"/>
        <v>-41851</v>
      </c>
      <c r="H15" s="7">
        <f t="shared" si="1"/>
        <v>-28473</v>
      </c>
      <c r="I15" s="7">
        <f t="shared" ref="I15" si="2">IF(I14="","",I14-I13)</f>
        <v>-11215.399999999994</v>
      </c>
      <c r="J15" s="7">
        <f>IF(J14="","",J14-J13)</f>
        <v>-20568</v>
      </c>
      <c r="K15" s="7">
        <f>IF(K14="","",K14-K13)</f>
        <v>-112286.7</v>
      </c>
      <c r="L15" s="7">
        <f>IF(L14="","",L14-L13)</f>
        <v>-33773.5</v>
      </c>
      <c r="M15" s="7">
        <f>IF(M14="","",M14-M13)</f>
        <v>-22838.399999999994</v>
      </c>
      <c r="N15" s="4" t="s">
        <v>130</v>
      </c>
    </row>
    <row r="16" spans="1:18" ht="18" customHeight="1">
      <c r="A16" s="2" t="s">
        <v>131</v>
      </c>
      <c r="B16" s="5">
        <f t="shared" ref="B16:H16" si="3">IFERROR(IF(B15="","",B15/B13),"")</f>
        <v>-4.7594876660341554E-2</v>
      </c>
      <c r="C16" s="5">
        <f t="shared" si="3"/>
        <v>-7.3733396584440225E-2</v>
      </c>
      <c r="D16" s="5">
        <f t="shared" si="3"/>
        <v>-7.2438330170777991E-3</v>
      </c>
      <c r="E16" s="5">
        <f t="shared" si="3"/>
        <v>-5.6385199240986721E-2</v>
      </c>
      <c r="F16" s="5">
        <f t="shared" si="3"/>
        <v>-0.13229601518026565</v>
      </c>
      <c r="G16" s="5">
        <f t="shared" si="3"/>
        <v>-0.19853415559772297</v>
      </c>
      <c r="H16" s="5">
        <f t="shared" si="3"/>
        <v>-0.13507115749525617</v>
      </c>
      <c r="I16" s="5">
        <f t="shared" ref="I16" si="4">IFERROR(IF(I15="","",I15/I13),"")</f>
        <v>-5.8122927031509092E-2</v>
      </c>
      <c r="J16" s="5">
        <f>IFERROR(IF(J15="","",J15/J13),"")</f>
        <v>-0.10770842061164641</v>
      </c>
      <c r="K16" s="5">
        <f>IFERROR(IF(K15="","",K15/K13),"")</f>
        <v>-0.58801162547130292</v>
      </c>
      <c r="L16" s="5">
        <f>IFERROR(IF(L15="","",L15/L13),"")</f>
        <v>-0.17723289252728799</v>
      </c>
      <c r="M16" s="5">
        <f>IFERROR(IF(M15="","",M15/M13),"")</f>
        <v>-0.11984886649874052</v>
      </c>
      <c r="N16" s="4" t="s">
        <v>132</v>
      </c>
    </row>
    <row r="17" spans="1:18" ht="18" customHeight="1">
      <c r="A17" s="2" t="s">
        <v>133</v>
      </c>
      <c r="B17" s="6" t="str">
        <f t="shared" ref="B17:H17" si="5">IF(B16="","",IF(ABS(B16)&lt;=0.05,"🟢 Green",IF(ABS(B16)&lt;=0.1,"🟡 Yellow","🔴 Red")))</f>
        <v>🟢 Green</v>
      </c>
      <c r="C17" s="6" t="str">
        <f>IF(C16="","",IF(ABS(C16)&lt;=0.05,"🟢 Green",IF(ABS(C16)&lt;=0.1,"🟡 Yellow","🔴 Red")))</f>
        <v>🟡 Yellow</v>
      </c>
      <c r="D17" s="6" t="str">
        <f t="shared" si="5"/>
        <v>🟢 Green</v>
      </c>
      <c r="E17" s="6" t="str">
        <f t="shared" si="5"/>
        <v>🟡 Yellow</v>
      </c>
      <c r="F17" s="6" t="str">
        <f t="shared" si="5"/>
        <v>🔴 Red</v>
      </c>
      <c r="G17" s="6" t="str">
        <f t="shared" si="5"/>
        <v>🔴 Red</v>
      </c>
      <c r="H17" s="6" t="str">
        <f t="shared" si="5"/>
        <v>🔴 Red</v>
      </c>
      <c r="I17" s="6" t="str">
        <f t="shared" ref="I17" si="6">IF(I16="","",IF(ABS(I16)&lt;=0.05,"🟢 Green",IF(ABS(I16)&lt;=0.1,"🟡 Yellow","🔴 Red")))</f>
        <v>🟡 Yellow</v>
      </c>
      <c r="J17" s="6" t="str">
        <f>IF(J16="","",IF(ABS(J16)&lt;=0.05,"🟢 Green",IF(ABS(J16)&lt;=0.1,"🟡 Yellow","🔴 Red")))</f>
        <v>🔴 Red</v>
      </c>
      <c r="K17" s="6" t="str">
        <f>IF(K16="","",IF(ABS(K16)&lt;=0.05,"🟢 Green",IF(ABS(K16)&lt;=0.1,"🟡 Yellow","🔴 Red")))</f>
        <v>🔴 Red</v>
      </c>
      <c r="L17" s="6" t="str">
        <f>IF(L16="","",IF(ABS(L16)&lt;=0.05,"🟢 Green",IF(ABS(L16)&lt;=0.1,"🟡 Yellow","🔴 Red")))</f>
        <v>🔴 Red</v>
      </c>
      <c r="M17" s="6" t="str">
        <f>IF(M16="","",IF(ABS(M16)&lt;=0.05,"🟢 Green",IF(ABS(M16)&lt;=0.1,"🟡 Yellow","🔴 Red")))</f>
        <v>🔴 Red</v>
      </c>
      <c r="N17" s="4" t="s">
        <v>134</v>
      </c>
    </row>
    <row r="19" spans="1:18" ht="19.5" customHeight="1">
      <c r="A19" s="262" t="s">
        <v>135</v>
      </c>
      <c r="B19" s="262"/>
      <c r="C19" s="262"/>
      <c r="D19" s="262"/>
      <c r="E19" s="262"/>
      <c r="F19" s="262"/>
      <c r="G19" s="262"/>
      <c r="H19" s="262"/>
      <c r="I19" s="262"/>
      <c r="J19" s="262"/>
      <c r="K19" s="263"/>
    </row>
    <row r="20" spans="1:18" ht="19.5" customHeight="1">
      <c r="A20" s="1" t="s">
        <v>98</v>
      </c>
      <c r="B20" s="1" t="s">
        <v>109</v>
      </c>
      <c r="C20" s="1" t="s">
        <v>110</v>
      </c>
      <c r="D20" s="1" t="s">
        <v>111</v>
      </c>
      <c r="E20" s="1" t="s">
        <v>112</v>
      </c>
      <c r="F20" s="1" t="s">
        <v>113</v>
      </c>
      <c r="G20" s="1" t="s">
        <v>114</v>
      </c>
      <c r="H20" s="1" t="s">
        <v>115</v>
      </c>
      <c r="I20" s="1" t="s">
        <v>116</v>
      </c>
      <c r="J20" s="1" t="s">
        <v>117</v>
      </c>
      <c r="K20" s="1" t="s">
        <v>118</v>
      </c>
      <c r="L20" s="1" t="s">
        <v>119</v>
      </c>
      <c r="M20" s="1" t="s">
        <v>120</v>
      </c>
      <c r="N20" s="1" t="s">
        <v>100</v>
      </c>
    </row>
    <row r="21" spans="1:18">
      <c r="A21" s="2" t="s">
        <v>136</v>
      </c>
      <c r="B21" s="8">
        <f>'🏃 Sprints'!N5</f>
        <v>84</v>
      </c>
      <c r="C21" s="8">
        <f>'🏃 Sprints'!N6</f>
        <v>178</v>
      </c>
      <c r="D21" s="8">
        <f>'🏃 Sprints'!N7</f>
        <v>147</v>
      </c>
      <c r="E21" s="8">
        <f>'🏃 Sprints'!N8</f>
        <v>323</v>
      </c>
      <c r="F21" s="8">
        <f>'🏃 Sprints'!N9</f>
        <v>164</v>
      </c>
      <c r="G21" s="8">
        <f>'🏃 Sprints'!N10</f>
        <v>113</v>
      </c>
      <c r="H21" s="8">
        <f>'🏃 Sprints'!N11</f>
        <v>220</v>
      </c>
      <c r="I21" s="8">
        <f>'🏃 Sprints'!N12</f>
        <v>141</v>
      </c>
      <c r="J21" s="8">
        <f>'🏃 Sprints'!N13</f>
        <v>169</v>
      </c>
      <c r="K21" s="8">
        <f>'🏃 Sprints'!N14</f>
        <v>162</v>
      </c>
      <c r="L21" s="8">
        <f>'🏃 Sprints'!N15</f>
        <v>215</v>
      </c>
      <c r="M21" s="8">
        <f>'🏃 Sprints'!N16</f>
        <v>135</v>
      </c>
      <c r="N21" s="4" t="s">
        <v>137</v>
      </c>
    </row>
    <row r="22" spans="1:18" ht="17.45" customHeight="1">
      <c r="A22" s="2" t="s">
        <v>138</v>
      </c>
      <c r="B22" s="8">
        <f>'🏃 Sprints'!O5</f>
        <v>4</v>
      </c>
      <c r="C22" s="8">
        <f>'🏃 Sprints'!O6</f>
        <v>22</v>
      </c>
      <c r="D22" s="8">
        <f>'🏃 Sprints'!O7</f>
        <v>66</v>
      </c>
      <c r="E22" s="8">
        <f>'🏃 Sprints'!O8</f>
        <v>108</v>
      </c>
      <c r="F22" s="8">
        <f>'🏃 Sprints'!O9</f>
        <v>37</v>
      </c>
      <c r="G22" s="8">
        <f>'🏃 Sprints'!O10</f>
        <v>20</v>
      </c>
      <c r="H22" s="8">
        <f>'🏃 Sprints'!O11</f>
        <v>22</v>
      </c>
      <c r="I22" s="8">
        <f>'🏃 Sprints'!O12</f>
        <v>57</v>
      </c>
      <c r="J22" s="8">
        <f>'🏃 Sprints'!O13</f>
        <v>41</v>
      </c>
      <c r="K22" s="8">
        <f>'🏃 Sprints'!O14</f>
        <v>48</v>
      </c>
      <c r="L22" s="8">
        <f>'🏃 Sprints'!O15</f>
        <v>83</v>
      </c>
      <c r="M22" s="8">
        <f>'🏃 Sprints'!O16</f>
        <v>50</v>
      </c>
      <c r="N22" s="4" t="s">
        <v>139</v>
      </c>
    </row>
    <row r="23" spans="1:18">
      <c r="A23" s="2" t="s">
        <v>140</v>
      </c>
      <c r="B23" s="9">
        <f t="shared" ref="B23:H23" si="7">IF(B21="","",B21+B22)</f>
        <v>88</v>
      </c>
      <c r="C23" s="9">
        <f t="shared" si="7"/>
        <v>200</v>
      </c>
      <c r="D23" s="9">
        <f t="shared" si="7"/>
        <v>213</v>
      </c>
      <c r="E23" s="9">
        <f t="shared" si="7"/>
        <v>431</v>
      </c>
      <c r="F23" s="9">
        <f t="shared" si="7"/>
        <v>201</v>
      </c>
      <c r="G23" s="9">
        <f t="shared" si="7"/>
        <v>133</v>
      </c>
      <c r="H23" s="9">
        <f t="shared" si="7"/>
        <v>242</v>
      </c>
      <c r="I23" s="9">
        <f>IF(I21="","",I21+I22)</f>
        <v>198</v>
      </c>
      <c r="J23" s="9">
        <f>IF(J21="","",J21+J22)</f>
        <v>210</v>
      </c>
      <c r="K23" s="9">
        <f>IF(K21="","",K21+K22)</f>
        <v>210</v>
      </c>
      <c r="L23" s="9">
        <f>IF(L21="","",L21+L22)</f>
        <v>298</v>
      </c>
      <c r="M23" s="9">
        <f>IF(M21="","",M21+M22)</f>
        <v>185</v>
      </c>
      <c r="N23" s="4" t="s">
        <v>141</v>
      </c>
    </row>
    <row r="24" spans="1:18">
      <c r="A24" s="2" t="s">
        <v>142</v>
      </c>
      <c r="B24" s="74">
        <f t="shared" ref="B24:F24" si="8">B14</f>
        <v>200767</v>
      </c>
      <c r="C24" s="74">
        <f t="shared" si="8"/>
        <v>195257</v>
      </c>
      <c r="D24" s="74">
        <f t="shared" si="8"/>
        <v>209273</v>
      </c>
      <c r="E24" s="74">
        <f t="shared" si="8"/>
        <v>198914</v>
      </c>
      <c r="F24" s="74">
        <f t="shared" si="8"/>
        <v>182912</v>
      </c>
      <c r="G24" s="74">
        <f>G14</f>
        <v>168949</v>
      </c>
      <c r="H24" s="74">
        <f>H14</f>
        <v>182327</v>
      </c>
      <c r="I24" s="74">
        <f>I14</f>
        <v>181744.6</v>
      </c>
      <c r="J24" s="74">
        <f>J14</f>
        <v>170392</v>
      </c>
      <c r="K24" s="74">
        <f>K14</f>
        <v>78673.3</v>
      </c>
      <c r="L24" s="74">
        <f>L14</f>
        <v>156786.5</v>
      </c>
      <c r="M24" s="74">
        <f>M14</f>
        <v>167721.60000000001</v>
      </c>
      <c r="N24" s="4" t="s">
        <v>143</v>
      </c>
    </row>
    <row r="25" spans="1:18">
      <c r="A25" s="2" t="s">
        <v>144</v>
      </c>
      <c r="B25" s="7">
        <f t="shared" ref="B25:H25" si="9">IFERROR(IF(B21="","",B24/B21),"")</f>
        <v>2390.0833333333335</v>
      </c>
      <c r="C25" s="7">
        <f t="shared" si="9"/>
        <v>1096.9494382022472</v>
      </c>
      <c r="D25" s="7">
        <f t="shared" si="9"/>
        <v>1423.6258503401361</v>
      </c>
      <c r="E25" s="7">
        <f t="shared" si="9"/>
        <v>615.83281733746128</v>
      </c>
      <c r="F25" s="7">
        <f t="shared" si="9"/>
        <v>1115.3170731707316</v>
      </c>
      <c r="G25" s="7">
        <f t="shared" si="9"/>
        <v>1495.1238938053098</v>
      </c>
      <c r="H25" s="7">
        <f t="shared" si="9"/>
        <v>828.7590909090909</v>
      </c>
      <c r="I25" s="7">
        <f>IFERROR(IF(I21="","",I24/I21),"")</f>
        <v>1288.9687943262411</v>
      </c>
      <c r="J25" s="7">
        <f>IFERROR(IF(J21="","",J24/J21),"")</f>
        <v>1008.2366863905326</v>
      </c>
      <c r="K25" s="7">
        <f>IFERROR(IF(K21="","",K24/K21),"")</f>
        <v>485.63765432098768</v>
      </c>
      <c r="L25" s="7">
        <f>IFERROR(IF(L21="","",L24/L21),"")</f>
        <v>729.23953488372092</v>
      </c>
      <c r="M25" s="7">
        <f>IFERROR(IF(M21="","",M24/M21),"")</f>
        <v>1242.3822222222223</v>
      </c>
      <c r="N25" s="4" t="s">
        <v>145</v>
      </c>
    </row>
    <row r="26" spans="1:18">
      <c r="A26" s="2" t="s">
        <v>146</v>
      </c>
      <c r="B26" s="7">
        <f t="shared" ref="B26:H26" si="10">IFERROR(IF(B23="","",B24/B23),"")</f>
        <v>2281.443181818182</v>
      </c>
      <c r="C26" s="7">
        <f t="shared" si="10"/>
        <v>976.28499999999997</v>
      </c>
      <c r="D26" s="7">
        <f t="shared" si="10"/>
        <v>982.50234741784038</v>
      </c>
      <c r="E26" s="7">
        <f t="shared" si="10"/>
        <v>461.51740139211137</v>
      </c>
      <c r="F26" s="7">
        <f t="shared" si="10"/>
        <v>910.00995024875624</v>
      </c>
      <c r="G26" s="7">
        <f t="shared" si="10"/>
        <v>1270.2932330827068</v>
      </c>
      <c r="H26" s="7">
        <f t="shared" si="10"/>
        <v>753.41735537190084</v>
      </c>
      <c r="I26" s="7">
        <f>IFERROR(IF(I23="","",I24/I23),"")</f>
        <v>917.90202020202025</v>
      </c>
      <c r="J26" s="7">
        <f>IFERROR(IF(J23="","",J24/J23),"")</f>
        <v>811.39047619047619</v>
      </c>
      <c r="K26" s="7">
        <f>IFERROR(IF(K23="","",K24/K23),"")</f>
        <v>374.63476190476194</v>
      </c>
      <c r="L26" s="7">
        <f>IFERROR(IF(L23="","",L24/L23),"")</f>
        <v>526.12919463087246</v>
      </c>
      <c r="M26" s="7">
        <f>IFERROR(IF(M23="","",M24/M23),"")</f>
        <v>906.60324324324324</v>
      </c>
      <c r="N26" s="4" t="s">
        <v>147</v>
      </c>
    </row>
    <row r="27" spans="1:18">
      <c r="A27" s="2" t="s">
        <v>148</v>
      </c>
      <c r="B27" s="68" t="s">
        <v>49</v>
      </c>
      <c r="C27" s="68" t="s">
        <v>49</v>
      </c>
      <c r="D27" s="68">
        <v>983</v>
      </c>
      <c r="E27" s="68">
        <v>983</v>
      </c>
      <c r="F27" s="68">
        <v>983</v>
      </c>
      <c r="G27" s="68">
        <v>983</v>
      </c>
      <c r="H27" s="68">
        <v>983</v>
      </c>
      <c r="I27" s="68">
        <v>983</v>
      </c>
      <c r="J27" s="68">
        <v>983</v>
      </c>
      <c r="K27" s="68">
        <v>983</v>
      </c>
      <c r="L27" s="68">
        <v>983</v>
      </c>
      <c r="M27" s="68">
        <v>983</v>
      </c>
      <c r="N27" s="4" t="s">
        <v>149</v>
      </c>
      <c r="R27" s="60"/>
    </row>
    <row r="28" spans="1:18" ht="18" customHeight="1">
      <c r="A28" s="2" t="s">
        <v>150</v>
      </c>
      <c r="B28" s="6" t="str">
        <f>IF(B25="","",IF(B25&lt;=B27,"🟢 Green",IF(B25&lt;=B27*1.1,"🟡 Yellow","🔴 Red")))</f>
        <v>🟢 Green</v>
      </c>
      <c r="C28" s="6" t="str">
        <f>IF(C25="","",IF(C25&lt;=C27,"🟢 Green",IF(C25&lt;=C27*1.1,"🟡 Yellow","🔴 Red")))</f>
        <v>🟢 Green</v>
      </c>
      <c r="D28" s="6" t="str">
        <f>IF(D26="","",IF(D26&lt;=D27,"🟢 Green",IF(D26&lt;=D27*1.1,"🟡 Yellow","🔴 Red")))</f>
        <v>🟢 Green</v>
      </c>
      <c r="E28" s="6" t="str">
        <f>IF(E26="","",IF(E26&lt;=E27,"🟢 Green",IF(E26&lt;=E27*1.1,"🟡 Yellow","🔴 Red")))</f>
        <v>🟢 Green</v>
      </c>
      <c r="F28" s="6" t="str">
        <f>IF(F26="","",IF(F26&lt;=F27,"🟢 Green",IF(F26&lt;=F27*1.1,"🟡 Yellow","🔴 Red")))</f>
        <v>🟢 Green</v>
      </c>
      <c r="G28" s="6" t="str">
        <f>IF(G26="","",IF(G26&lt;=G27,"🟢 Green",IF(G26&lt;=G27*1.1,"🟡 Yellow","🔴 Red")))</f>
        <v>🔴 Red</v>
      </c>
      <c r="H28" s="6" t="str">
        <f>IF(H25="","",IF(H25&lt;=H27,"🟢 Green",IF(H25&lt;=H27*1.1,"🟡 Yellow","🔴 Red")))</f>
        <v>🟢 Green</v>
      </c>
      <c r="I28" s="6" t="str">
        <f>IF(I25="","",IF(I25&lt;=I27,"🟢 Green",IF(I25&lt;=I27*1.1,"🟡 Yellow","🔴 Red")))</f>
        <v>🔴 Red</v>
      </c>
      <c r="J28" s="6" t="str">
        <f>IF(J25="","",IF(J25&lt;=J27,"🟢 Green",IF(J25&lt;=J27*1.1,"🟡 Yellow","🔴 Red")))</f>
        <v>🟡 Yellow</v>
      </c>
      <c r="K28" s="6" t="str">
        <f>IF(K25="","",IF(K25&lt;=K27,"🟢 Green",IF(K25&lt;=K27*1.1,"🟡 Yellow","🔴 Red")))</f>
        <v>🟢 Green</v>
      </c>
      <c r="L28" s="6" t="str">
        <f>IF(L25="","",IF(L25&lt;=L27,"🟢 Green",IF(L25&lt;=L27*1.1,"🟡 Yellow","🔴 Red")))</f>
        <v>🟢 Green</v>
      </c>
      <c r="M28" s="6" t="str">
        <f>IF(M25="","",IF(M25&lt;=M27,"🟢 Green",IF(M25&lt;=M27*1.1,"🟡 Yellow","🔴 Red")))</f>
        <v>🔴 Red</v>
      </c>
      <c r="N28" s="4" t="s">
        <v>151</v>
      </c>
    </row>
    <row r="29" spans="1:18">
      <c r="A29" s="11" t="s">
        <v>152</v>
      </c>
      <c r="B29" s="7" t="s">
        <v>49</v>
      </c>
      <c r="C29" s="7">
        <f>IFERROR(AVERAGE(C26:C26),"")</f>
        <v>976.28499999999997</v>
      </c>
      <c r="D29" s="7">
        <f>IFERROR(AVERAGE(C26:D26),"")</f>
        <v>979.39367370892023</v>
      </c>
      <c r="E29" s="7">
        <f>IFERROR(AVERAGE(C26:E26),"")</f>
        <v>806.76824960331726</v>
      </c>
      <c r="F29" s="7">
        <f>IFERROR(AVERAGE(C26:F26),"")</f>
        <v>832.57867476467709</v>
      </c>
      <c r="G29" s="7">
        <f>IFERROR(AVERAGE(C26:G26),"")</f>
        <v>920.12158642828308</v>
      </c>
      <c r="H29" s="7">
        <f>IFERROR(AVERAGE(C26:H26),"")</f>
        <v>892.33754791888612</v>
      </c>
      <c r="I29" s="7">
        <f>IFERROR(AVERAGE(C26:I26),"")</f>
        <v>895.98961538790525</v>
      </c>
      <c r="J29" s="7">
        <f>IFERROR(AVERAGE(D26:J26),"")</f>
        <v>872.43325484368745</v>
      </c>
      <c r="K29" s="7">
        <f>IFERROR(AVERAGE(E26:K26),"")</f>
        <v>785.59502834181899</v>
      </c>
      <c r="L29" s="7">
        <f>IFERROR(AVERAGE(F26:L26),"")</f>
        <v>794.82528451878477</v>
      </c>
      <c r="M29" s="7">
        <f>IFERROR(AVERAGE(G26:M26),"")</f>
        <v>794.33861208942585</v>
      </c>
      <c r="N29" s="4" t="s">
        <v>153</v>
      </c>
    </row>
    <row r="32" spans="1:18">
      <c r="A32" s="259" t="s">
        <v>154</v>
      </c>
      <c r="B32" s="259"/>
      <c r="C32" s="259"/>
      <c r="D32" s="259"/>
      <c r="E32" s="259"/>
      <c r="F32" s="259"/>
      <c r="G32" s="65"/>
    </row>
    <row r="33" spans="1:7">
      <c r="A33" s="1" t="s">
        <v>155</v>
      </c>
      <c r="B33" s="1" t="s">
        <v>156</v>
      </c>
      <c r="C33" s="1" t="s">
        <v>157</v>
      </c>
      <c r="D33" s="63" t="s">
        <v>158</v>
      </c>
      <c r="E33" s="1" t="s">
        <v>159</v>
      </c>
      <c r="F33" s="1" t="s">
        <v>160</v>
      </c>
      <c r="G33" s="51"/>
    </row>
    <row r="34" spans="1:7">
      <c r="A34" s="13" t="s">
        <v>161</v>
      </c>
      <c r="B34" s="3">
        <f>B6</f>
        <v>471406</v>
      </c>
      <c r="C34" s="56">
        <f>B7</f>
        <v>416796</v>
      </c>
      <c r="D34" s="58">
        <f>B34-C34</f>
        <v>54610</v>
      </c>
      <c r="E34" s="57">
        <f>C34/B34</f>
        <v>0.88415505954527518</v>
      </c>
      <c r="F34" s="6" t="str">
        <f>IF(E34="","",IF(E34&lt;=1,"🟢 Green",IF(E34&lt;=1.05,"🟡 Yellow","🔴 Red")))</f>
        <v>🟢 Green</v>
      </c>
      <c r="G34" s="66"/>
    </row>
    <row r="35" spans="1:7">
      <c r="A35" s="13" t="s">
        <v>162</v>
      </c>
      <c r="B35" s="3">
        <f>B6+C6</f>
        <v>942812</v>
      </c>
      <c r="C35" s="56">
        <f>B7+C7</f>
        <v>847467</v>
      </c>
      <c r="D35" s="58">
        <f>B35-C35</f>
        <v>95345</v>
      </c>
      <c r="E35" s="57">
        <f>C35/B35</f>
        <v>0.8988716732498101</v>
      </c>
      <c r="F35" s="6" t="str">
        <f>IF(E35="","",IF(E35&lt;=1,"🟢 Green",IF(E35&lt;=1.05,"🟡 Yellow","🔴 Red")))</f>
        <v>🟢 Green</v>
      </c>
      <c r="G35" s="66"/>
    </row>
    <row r="36" spans="1:7">
      <c r="A36" s="13" t="s">
        <v>163</v>
      </c>
      <c r="B36" s="3">
        <f>B35+D6</f>
        <v>1414218</v>
      </c>
      <c r="C36" s="56">
        <f>C35+D7</f>
        <v>1225284</v>
      </c>
      <c r="D36" s="58">
        <f>B36-C36</f>
        <v>188934</v>
      </c>
      <c r="E36" s="57">
        <f>C36/B36</f>
        <v>0.86640390661128619</v>
      </c>
      <c r="F36" s="6" t="str">
        <f>IF(E36="","",IF(E36&lt;=1,"🟢 Green",IF(E36&lt;=1.05,"🟡 Yellow","🔴 Red")))</f>
        <v>🟢 Green</v>
      </c>
      <c r="G36" s="66"/>
    </row>
    <row r="37" spans="1:7">
      <c r="A37" s="13" t="s">
        <v>164</v>
      </c>
      <c r="B37" s="3">
        <f>B36+E6</f>
        <v>1885624</v>
      </c>
      <c r="C37" s="56">
        <f>C36+E7</f>
        <v>1611995</v>
      </c>
      <c r="D37" s="58">
        <f>B37-C37</f>
        <v>273629</v>
      </c>
      <c r="E37" s="57">
        <f>C37/B37</f>
        <v>0.85488676427538046</v>
      </c>
      <c r="F37" s="6" t="str">
        <f>IF(E37="","",IF(E37&lt;=1,"🟢 Green",IF(E37&lt;=1.05,"🟡 Yellow","🔴 Red")))</f>
        <v>🟢 Green</v>
      </c>
    </row>
    <row r="38" spans="1:7">
      <c r="A38" s="13" t="s">
        <v>35</v>
      </c>
      <c r="B38" s="3">
        <f>B37+F6</f>
        <v>2357030</v>
      </c>
      <c r="C38" s="56">
        <f>C37+F7</f>
        <v>1966935.5</v>
      </c>
      <c r="D38" s="58">
        <f>B38-C38</f>
        <v>390094.5</v>
      </c>
      <c r="E38" s="57">
        <f>C38/B38</f>
        <v>0.83449743957437961</v>
      </c>
      <c r="F38" s="6" t="str">
        <f>IF(E38="","",IF(E38&lt;=1,"🟢 Green",IF(E38&lt;=1.05,"🟡 Yellow","🔴 Red")))</f>
        <v>🟢 Green</v>
      </c>
    </row>
    <row r="39" spans="1:7">
      <c r="A39" s="217" t="s">
        <v>165</v>
      </c>
      <c r="B39" s="3">
        <f>B38+G6</f>
        <v>2756338</v>
      </c>
      <c r="C39" s="56">
        <f>C38+G7</f>
        <v>2339093</v>
      </c>
      <c r="D39" s="58">
        <f>B39-C39</f>
        <v>417245</v>
      </c>
      <c r="E39" s="57">
        <f>C39/B39</f>
        <v>0.84862342717039785</v>
      </c>
      <c r="F39" s="6" t="str">
        <f>IF(E39="","",IF(E39&lt;=1,"🟢 Green",IF(E39&lt;=1.05,"🟡 Yellow","🔴 Red")))</f>
        <v>🟢 Green</v>
      </c>
    </row>
    <row r="40" spans="1:7">
      <c r="A40" s="218"/>
      <c r="B40" s="219"/>
      <c r="C40" s="219"/>
      <c r="D40" s="220"/>
      <c r="E40" s="221"/>
      <c r="F40" s="222"/>
    </row>
    <row r="41" spans="1:7">
      <c r="A41" s="259" t="s">
        <v>166</v>
      </c>
      <c r="B41" s="259"/>
      <c r="C41" s="259"/>
      <c r="D41" s="259"/>
      <c r="E41" s="259"/>
      <c r="F41" s="259"/>
    </row>
    <row r="42" spans="1:7">
      <c r="A42" s="1" t="s">
        <v>155</v>
      </c>
      <c r="B42" s="1" t="s">
        <v>157</v>
      </c>
      <c r="C42" s="1" t="s">
        <v>167</v>
      </c>
      <c r="D42" s="1" t="s">
        <v>159</v>
      </c>
      <c r="E42" s="1" t="s">
        <v>168</v>
      </c>
    </row>
    <row r="43" spans="1:7">
      <c r="A43" s="13" t="s">
        <v>161</v>
      </c>
      <c r="B43" s="72">
        <f>B26</f>
        <v>2281.443181818182</v>
      </c>
      <c r="C43" s="73" t="str">
        <f>B27</f>
        <v>NIL</v>
      </c>
      <c r="D43" s="67" t="e">
        <f>(B43-C43)/C43</f>
        <v>#VALUE!</v>
      </c>
      <c r="E43" s="6" t="str">
        <f>IF(B43="","",IF(B43&lt;=C43,"🟢 Green",IF(B43&lt;=C43*1.1,"🟡 Yellow","🔴 Red")))</f>
        <v>🟢 Green</v>
      </c>
    </row>
    <row r="44" spans="1:7">
      <c r="A44" s="13" t="s">
        <v>162</v>
      </c>
      <c r="B44" s="72">
        <f>AVERAGE(C26:D26)</f>
        <v>979.39367370892023</v>
      </c>
      <c r="C44" s="73">
        <f>D27</f>
        <v>983</v>
      </c>
      <c r="D44" s="67">
        <f>((B44-C44)/C44)</f>
        <v>-3.668694090620313E-3</v>
      </c>
      <c r="E44" s="6" t="str">
        <f>IF(B44="","",IF(B44&lt;=C44,"🟢 Green",IF(B44&lt;=C44*1.1,"🟡 Yellow","🔴 Red")))</f>
        <v>🟢 Green</v>
      </c>
    </row>
    <row r="45" spans="1:7">
      <c r="A45" s="13" t="s">
        <v>163</v>
      </c>
      <c r="B45" s="72">
        <f>AVERAGE(E26:G26)</f>
        <v>880.60686157452483</v>
      </c>
      <c r="C45" s="73">
        <f>D27</f>
        <v>983</v>
      </c>
      <c r="D45" s="67">
        <f>((B45-C45)/C45)</f>
        <v>-0.10416392515307749</v>
      </c>
      <c r="E45" s="6" t="str">
        <f>IF(B45="","",IF(B45&lt;=C45,"🟢 Green",IF(B45&lt;=C45*1.1,"🟡 Yellow","🔴 Red")))</f>
        <v>🟢 Green</v>
      </c>
      <c r="F45" s="6"/>
    </row>
    <row r="46" spans="1:7">
      <c r="A46" s="13" t="s">
        <v>164</v>
      </c>
      <c r="B46" s="72">
        <f>AVERAGE(H26:I26)</f>
        <v>835.6596877869606</v>
      </c>
      <c r="C46" s="73">
        <f>D27</f>
        <v>983</v>
      </c>
      <c r="D46" s="67">
        <f>((B46-C46)/C46)</f>
        <v>-0.14988841527267488</v>
      </c>
      <c r="E46" s="6" t="str">
        <f>IF(B46="","",IF(B46&lt;=C46,"🟢 Green",IF(B46&lt;=C46*1.1,"🟡 Yellow","🔴 Red")))</f>
        <v>🟢 Green</v>
      </c>
    </row>
    <row r="47" spans="1:7">
      <c r="A47" s="13" t="s">
        <v>35</v>
      </c>
      <c r="B47" s="72">
        <f>AVERAGE(J26:K26)</f>
        <v>593.01261904761907</v>
      </c>
      <c r="C47" s="73">
        <f>J27</f>
        <v>983</v>
      </c>
      <c r="D47" s="67">
        <f>((B47-C47)/C47)</f>
        <v>-0.39673182192510775</v>
      </c>
      <c r="E47" s="6" t="str">
        <f>IF(B47="","",IF(B47&lt;=C47,"🟢 Green",IF(B47&lt;=C47*1.1,"🟡 Yellow","🔴 Red")))</f>
        <v>🟢 Green</v>
      </c>
    </row>
    <row r="48" spans="1:7">
      <c r="A48" s="13" t="s">
        <v>165</v>
      </c>
      <c r="B48" s="72">
        <f>AVERAGE(L26)</f>
        <v>526.12919463087246</v>
      </c>
      <c r="C48" s="73">
        <f>J27</f>
        <v>983</v>
      </c>
      <c r="D48" s="67">
        <f>((B48-C48)/C48)</f>
        <v>-0.46477192814763735</v>
      </c>
      <c r="E48" s="6" t="str">
        <f>IF(B48="","",IF(B48&lt;=C48,"🟢 Green",IF(B48&lt;=C48*1.1,"🟡 Yellow","🔴 Red")))</f>
        <v>🟢 Green</v>
      </c>
    </row>
  </sheetData>
  <mergeCells count="7">
    <mergeCell ref="A41:F41"/>
    <mergeCell ref="A32:F32"/>
    <mergeCell ref="A1:K1"/>
    <mergeCell ref="A2:K2"/>
    <mergeCell ref="A4:K4"/>
    <mergeCell ref="A11:K11"/>
    <mergeCell ref="A19:K19"/>
  </mergeCells>
  <pageMargins left="0.75" right="0.75" top="1" bottom="1" header="0.511811023622047" footer="0.511811023622047"/>
  <pageSetup paperSize="9" orientation="portrait"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9"/>
  <sheetViews>
    <sheetView showGridLines="0" topLeftCell="A32" zoomScale="90" zoomScaleNormal="90" workbookViewId="0">
      <selection activeCell="G37" sqref="G37"/>
    </sheetView>
  </sheetViews>
  <sheetFormatPr defaultColWidth="8.7109375" defaultRowHeight="14.45"/>
  <cols>
    <col min="1" max="1" width="23.7109375" customWidth="1"/>
    <col min="2" max="2" width="20.7109375" customWidth="1"/>
    <col min="3" max="3" width="17.5703125" style="152" customWidth="1"/>
    <col min="4" max="4" width="25" style="152" customWidth="1"/>
    <col min="5" max="5" width="24.85546875" style="152" customWidth="1"/>
    <col min="6" max="6" width="20.85546875" style="152" customWidth="1"/>
    <col min="7" max="7" width="31.28515625" style="152" customWidth="1"/>
    <col min="8" max="8" width="45" customWidth="1"/>
    <col min="9" max="9" width="33.85546875" customWidth="1"/>
    <col min="10" max="10" width="10.5703125" customWidth="1"/>
    <col min="11" max="12" width="14" customWidth="1"/>
    <col min="13" max="13" width="14.42578125" customWidth="1"/>
  </cols>
  <sheetData>
    <row r="1" spans="1:13" ht="16.5">
      <c r="A1" s="260" t="s">
        <v>169</v>
      </c>
      <c r="B1" s="260"/>
      <c r="C1" s="260"/>
      <c r="D1" s="260"/>
      <c r="E1" s="260"/>
      <c r="F1" s="260"/>
      <c r="G1" s="260"/>
      <c r="H1" s="260"/>
      <c r="I1" s="260"/>
      <c r="J1" s="260"/>
      <c r="K1" s="260"/>
    </row>
    <row r="2" spans="1:13">
      <c r="B2" s="261" t="s">
        <v>170</v>
      </c>
      <c r="C2" s="261"/>
      <c r="D2" s="261"/>
      <c r="E2" s="261"/>
      <c r="F2" s="261"/>
      <c r="G2" s="261"/>
      <c r="H2" s="261"/>
      <c r="I2" s="39"/>
    </row>
    <row r="4" spans="1:13">
      <c r="A4" s="266" t="s">
        <v>171</v>
      </c>
      <c r="B4" s="266"/>
      <c r="C4" s="266"/>
      <c r="D4" s="266"/>
      <c r="E4" s="266"/>
      <c r="F4" s="266"/>
      <c r="G4" s="266"/>
      <c r="H4" s="266"/>
      <c r="I4" s="266"/>
      <c r="J4" s="266"/>
      <c r="K4" s="266"/>
    </row>
    <row r="5" spans="1:13">
      <c r="B5" s="267" t="s">
        <v>172</v>
      </c>
      <c r="C5" s="267"/>
      <c r="D5" s="267"/>
      <c r="E5" s="267"/>
      <c r="F5" s="267"/>
      <c r="G5" s="267"/>
      <c r="H5" s="267"/>
      <c r="I5" s="43"/>
    </row>
    <row r="6" spans="1:13" ht="26.1">
      <c r="A6" s="1" t="s">
        <v>173</v>
      </c>
      <c r="B6" s="1" t="s">
        <v>155</v>
      </c>
      <c r="C6" s="1" t="s">
        <v>174</v>
      </c>
      <c r="D6" s="1" t="s">
        <v>175</v>
      </c>
      <c r="E6" s="1" t="s">
        <v>176</v>
      </c>
      <c r="F6" s="1" t="s">
        <v>177</v>
      </c>
      <c r="G6" s="1" t="s">
        <v>178</v>
      </c>
      <c r="H6" s="1" t="s">
        <v>179</v>
      </c>
      <c r="I6" s="1" t="s">
        <v>180</v>
      </c>
      <c r="J6" s="1" t="s">
        <v>181</v>
      </c>
      <c r="K6" s="1" t="s">
        <v>182</v>
      </c>
      <c r="L6" s="1" t="s">
        <v>183</v>
      </c>
      <c r="M6" s="1" t="s">
        <v>63</v>
      </c>
    </row>
    <row r="7" spans="1:13">
      <c r="A7" s="12" t="s">
        <v>184</v>
      </c>
      <c r="B7" s="12" t="s">
        <v>163</v>
      </c>
      <c r="C7" s="8">
        <v>0</v>
      </c>
      <c r="D7" s="8"/>
      <c r="E7" s="8"/>
      <c r="F7" s="8">
        <v>2</v>
      </c>
      <c r="G7" s="8">
        <v>1</v>
      </c>
      <c r="H7" s="48">
        <f t="shared" ref="H7" si="0">SUM(C7:G7)</f>
        <v>3</v>
      </c>
      <c r="I7" s="8">
        <v>17</v>
      </c>
      <c r="J7" s="8">
        <v>0</v>
      </c>
      <c r="K7" s="8">
        <f>SUM(I7:J7)</f>
        <v>17</v>
      </c>
      <c r="L7" s="5">
        <f>SUM(C7:G7)/K7</f>
        <v>0.17647058823529413</v>
      </c>
      <c r="M7" s="6" t="str">
        <f t="shared" ref="M7:M16" si="1">IF(L7="","",IF(L7&lt;=0.1,"🟢 Green",IF(L7&lt;=0.15,"🟡 Yellow","🔴 Red")))</f>
        <v>🔴 Red</v>
      </c>
    </row>
    <row r="8" spans="1:13">
      <c r="A8" s="12" t="s">
        <v>185</v>
      </c>
      <c r="B8" s="12" t="s">
        <v>164</v>
      </c>
      <c r="C8" s="8"/>
      <c r="D8" s="8">
        <v>1</v>
      </c>
      <c r="E8" s="8">
        <v>3</v>
      </c>
      <c r="F8" s="8">
        <v>5</v>
      </c>
      <c r="G8" s="8"/>
      <c r="H8" s="48">
        <f>SUM(C8:G8)</f>
        <v>9</v>
      </c>
      <c r="I8" s="8">
        <v>573</v>
      </c>
      <c r="J8" s="8">
        <v>18</v>
      </c>
      <c r="K8" s="8">
        <f>SUM(I8:J8)</f>
        <v>591</v>
      </c>
      <c r="L8" s="5">
        <f>SUM(C8:G8)/K8</f>
        <v>1.5228426395939087E-2</v>
      </c>
      <c r="M8" s="6" t="str">
        <f t="shared" si="1"/>
        <v>🟢 Green</v>
      </c>
    </row>
    <row r="9" spans="1:13">
      <c r="A9" s="12" t="s">
        <v>186</v>
      </c>
      <c r="B9" s="12" t="s">
        <v>35</v>
      </c>
      <c r="C9" s="8"/>
      <c r="D9" s="8">
        <v>2</v>
      </c>
      <c r="E9" s="8">
        <v>1</v>
      </c>
      <c r="F9" s="8"/>
      <c r="G9" s="8"/>
      <c r="H9" s="48">
        <f>SUM(C9:G9)</f>
        <v>3</v>
      </c>
      <c r="I9" s="8">
        <v>93</v>
      </c>
      <c r="J9" s="8">
        <v>23</v>
      </c>
      <c r="K9" s="8">
        <f>SUM(I9:J9)</f>
        <v>116</v>
      </c>
      <c r="L9" s="5">
        <f>SUM(C9:G9)/K9</f>
        <v>2.5862068965517241E-2</v>
      </c>
      <c r="M9" s="6" t="str">
        <f t="shared" si="1"/>
        <v>🟢 Green</v>
      </c>
    </row>
    <row r="10" spans="1:13">
      <c r="A10" s="12" t="s">
        <v>187</v>
      </c>
      <c r="B10" s="12" t="s">
        <v>165</v>
      </c>
      <c r="C10" s="8"/>
      <c r="D10" s="8">
        <v>4</v>
      </c>
      <c r="E10" s="8">
        <v>14</v>
      </c>
      <c r="F10" s="8">
        <v>3</v>
      </c>
      <c r="G10" s="8"/>
      <c r="H10" s="48">
        <f>SUM(C10:G10)</f>
        <v>21</v>
      </c>
      <c r="I10" s="8">
        <v>229</v>
      </c>
      <c r="J10" s="8">
        <v>2</v>
      </c>
      <c r="K10" s="8">
        <f>SUM(I10:J10)</f>
        <v>231</v>
      </c>
      <c r="L10" s="5">
        <f t="shared" ref="L10:L16" si="2">IFERROR(IF(SUM(C10:J10)=0,"",(C10*5+D10*3+E10*1)/(C10*5+D10*3+E10*1+H10*5+I10*3+J10*1)),"")</f>
        <v>3.1707317073170732E-2</v>
      </c>
      <c r="M10" s="6" t="str">
        <f t="shared" si="1"/>
        <v>🟢 Green</v>
      </c>
    </row>
    <row r="11" spans="1:13">
      <c r="A11" s="12"/>
      <c r="B11" s="12"/>
      <c r="C11" s="8"/>
      <c r="D11" s="8"/>
      <c r="E11" s="8"/>
      <c r="F11" s="8"/>
      <c r="G11" s="8"/>
      <c r="H11" s="44"/>
      <c r="I11" s="8"/>
      <c r="J11" s="8"/>
      <c r="K11" s="8"/>
      <c r="L11" s="5" t="str">
        <f t="shared" si="2"/>
        <v/>
      </c>
      <c r="M11" s="6" t="str">
        <f t="shared" si="1"/>
        <v/>
      </c>
    </row>
    <row r="12" spans="1:13">
      <c r="A12" s="12"/>
      <c r="B12" s="12"/>
      <c r="C12" s="8"/>
      <c r="D12" s="8"/>
      <c r="E12" s="8"/>
      <c r="F12" s="8"/>
      <c r="G12" s="8"/>
      <c r="H12" s="44"/>
      <c r="I12" s="8"/>
      <c r="J12" s="8"/>
      <c r="K12" s="8"/>
      <c r="L12" s="5" t="str">
        <f t="shared" si="2"/>
        <v/>
      </c>
      <c r="M12" s="6" t="str">
        <f t="shared" si="1"/>
        <v/>
      </c>
    </row>
    <row r="13" spans="1:13">
      <c r="A13" s="12"/>
      <c r="B13" s="12"/>
      <c r="C13" s="8"/>
      <c r="D13" s="8"/>
      <c r="E13" s="8"/>
      <c r="F13" s="8"/>
      <c r="G13" s="8"/>
      <c r="H13" s="44"/>
      <c r="I13" s="8"/>
      <c r="J13" s="8"/>
      <c r="K13" s="8"/>
      <c r="L13" s="5" t="str">
        <f t="shared" si="2"/>
        <v/>
      </c>
      <c r="M13" s="6" t="str">
        <f t="shared" si="1"/>
        <v/>
      </c>
    </row>
    <row r="14" spans="1:13">
      <c r="A14" s="12"/>
      <c r="B14" s="12"/>
      <c r="C14" s="8"/>
      <c r="D14" s="8"/>
      <c r="E14" s="8"/>
      <c r="F14" s="8"/>
      <c r="G14" s="8"/>
      <c r="H14" s="44"/>
      <c r="I14" s="8"/>
      <c r="J14" s="8"/>
      <c r="K14" s="8"/>
      <c r="L14" s="5" t="str">
        <f t="shared" si="2"/>
        <v/>
      </c>
      <c r="M14" s="6" t="str">
        <f t="shared" si="1"/>
        <v/>
      </c>
    </row>
    <row r="15" spans="1:13">
      <c r="A15" s="12"/>
      <c r="B15" s="12"/>
      <c r="C15" s="8"/>
      <c r="D15" s="8"/>
      <c r="E15" s="8"/>
      <c r="F15" s="8"/>
      <c r="G15" s="8"/>
      <c r="H15" s="44"/>
      <c r="I15" s="8"/>
      <c r="J15" s="8"/>
      <c r="K15" s="8"/>
      <c r="L15" s="5" t="str">
        <f t="shared" si="2"/>
        <v/>
      </c>
      <c r="M15" s="6" t="str">
        <f t="shared" si="1"/>
        <v/>
      </c>
    </row>
    <row r="16" spans="1:13">
      <c r="A16" s="12"/>
      <c r="B16" s="12"/>
      <c r="C16" s="8"/>
      <c r="D16" s="8"/>
      <c r="E16" s="8"/>
      <c r="F16" s="8"/>
      <c r="G16" s="8"/>
      <c r="H16" s="44"/>
      <c r="I16" s="8"/>
      <c r="J16" s="8"/>
      <c r="K16" s="8"/>
      <c r="L16" s="5" t="str">
        <f t="shared" si="2"/>
        <v/>
      </c>
      <c r="M16" s="6" t="str">
        <f t="shared" si="1"/>
        <v/>
      </c>
    </row>
    <row r="18" spans="1:11">
      <c r="A18" s="266" t="s">
        <v>188</v>
      </c>
      <c r="B18" s="266"/>
      <c r="C18" s="266"/>
      <c r="D18" s="266"/>
      <c r="E18" s="266"/>
      <c r="F18" s="266"/>
      <c r="G18" s="266"/>
      <c r="H18" s="266"/>
      <c r="I18" s="266"/>
      <c r="J18" s="266"/>
      <c r="K18" s="266"/>
    </row>
    <row r="19" spans="1:11" ht="26.1">
      <c r="A19" s="1" t="s">
        <v>155</v>
      </c>
      <c r="B19" s="1" t="s">
        <v>179</v>
      </c>
      <c r="C19" s="1" t="s">
        <v>189</v>
      </c>
      <c r="D19" s="1" t="s">
        <v>190</v>
      </c>
      <c r="E19" s="1" t="s">
        <v>69</v>
      </c>
    </row>
    <row r="20" spans="1:11">
      <c r="A20" s="52" t="s">
        <v>163</v>
      </c>
      <c r="B20" s="9">
        <f>SUMPRODUCT((B7:B16=A20)*(H7:H16))</f>
        <v>3</v>
      </c>
      <c r="C20" s="9">
        <f>SUMPRODUCT((B7:B16=A20)*K7:K16)</f>
        <v>17</v>
      </c>
      <c r="D20" s="5">
        <f>B20/C20</f>
        <v>0.17647058823529413</v>
      </c>
      <c r="E20" s="6" t="str">
        <f>IF(D20="","",IF(D20&lt;=0.1,"🟢 Green",IF(D20&lt;=0.15,"🟡 Yellow","🔴 Red")))</f>
        <v>🔴 Red</v>
      </c>
    </row>
    <row r="21" spans="1:11">
      <c r="A21" s="52" t="s">
        <v>164</v>
      </c>
      <c r="B21" s="9">
        <f>SUMPRODUCT((B8:B17=A21)*(H8:H17))</f>
        <v>9</v>
      </c>
      <c r="C21" s="9">
        <f>SUMPRODUCT((B8:B17=A21)*K8:K17)</f>
        <v>591</v>
      </c>
      <c r="D21" s="5">
        <f>B21/C21</f>
        <v>1.5228426395939087E-2</v>
      </c>
      <c r="E21" s="6" t="str">
        <f>IF(D21="","",IF(D21&lt;=0.1,"🟢 Green",IF(D21&lt;=0.15,"🟡 Yellow","🔴 Red")))</f>
        <v>🟢 Green</v>
      </c>
    </row>
    <row r="22" spans="1:11">
      <c r="A22" s="52" t="s">
        <v>35</v>
      </c>
      <c r="B22" s="9">
        <f>SUMPRODUCT((B9:B18=A22)*(H9:H18))</f>
        <v>3</v>
      </c>
      <c r="C22" s="9">
        <f>SUMPRODUCT((B9:B18=A22)*K9:K18)</f>
        <v>116</v>
      </c>
      <c r="D22" s="5">
        <f>B22/C22</f>
        <v>2.5862068965517241E-2</v>
      </c>
      <c r="E22" s="6" t="str">
        <f>IF(D22="","",IF(D22&lt;=0.1,"🟢 Green",IF(D22&lt;=0.15,"🟡 Yellow","🔴 Red")))</f>
        <v>🟢 Green</v>
      </c>
    </row>
    <row r="23" spans="1:11">
      <c r="A23" s="52" t="s">
        <v>165</v>
      </c>
      <c r="B23" s="9">
        <f>SUMPRODUCT((B10:B19=A23)*(H10:H19))</f>
        <v>21</v>
      </c>
      <c r="C23" s="9">
        <f>SUMPRODUCT((B10:B19=A23)*K10:K19)</f>
        <v>231</v>
      </c>
      <c r="D23" s="5">
        <f>B23/C23</f>
        <v>9.0909090909090912E-2</v>
      </c>
      <c r="E23" s="6" t="str">
        <f>IF(D23="","",IF(D23&lt;=0.1,"🟢 Green",IF(D23&lt;=0.15,"🟡 Yellow","🔴 Red")))</f>
        <v>🟢 Green</v>
      </c>
    </row>
    <row r="25" spans="1:11">
      <c r="A25" s="266" t="s">
        <v>191</v>
      </c>
      <c r="B25" s="266"/>
      <c r="C25" s="266"/>
      <c r="D25" s="266"/>
      <c r="E25" s="266"/>
      <c r="F25" s="266"/>
      <c r="G25" s="266"/>
      <c r="H25" s="266"/>
      <c r="I25" s="266"/>
      <c r="J25" s="266"/>
      <c r="K25" s="266"/>
    </row>
    <row r="26" spans="1:11">
      <c r="A26" s="265" t="s">
        <v>192</v>
      </c>
      <c r="B26" s="265"/>
      <c r="C26" s="265"/>
      <c r="D26" s="265"/>
      <c r="E26" s="265"/>
      <c r="F26" s="265"/>
      <c r="G26" s="265"/>
      <c r="H26" s="265"/>
      <c r="I26" s="265"/>
      <c r="J26" s="265"/>
      <c r="K26" s="265"/>
    </row>
    <row r="27" spans="1:11" ht="26.1">
      <c r="A27" s="50" t="s">
        <v>193</v>
      </c>
      <c r="B27" s="50" t="s">
        <v>155</v>
      </c>
      <c r="C27" s="50" t="s">
        <v>194</v>
      </c>
      <c r="D27" s="50" t="s">
        <v>195</v>
      </c>
      <c r="E27" s="50" t="s">
        <v>89</v>
      </c>
      <c r="F27" s="50" t="s">
        <v>69</v>
      </c>
      <c r="G27" s="63" t="s">
        <v>100</v>
      </c>
      <c r="H27" s="177" t="s">
        <v>196</v>
      </c>
    </row>
    <row r="28" spans="1:11">
      <c r="A28" s="12" t="s">
        <v>197</v>
      </c>
      <c r="B28" s="12" t="s">
        <v>161</v>
      </c>
      <c r="C28" s="47">
        <f>IFERROR(SUMIFS('🏃 Sprints'!H:H,'🏃 Sprints'!A:A,$A28,'🏃 Sprints'!B:B,$B28),0)</f>
        <v>4</v>
      </c>
      <c r="D28" s="48">
        <f>IFERROR(SUMIFS('🏃 Sprints'!J:J,'🏃 Sprints'!A:A,$A28,'🏃 Sprints'!B:B,$B28),0)</f>
        <v>116</v>
      </c>
      <c r="E28" s="46">
        <f>C28/D28</f>
        <v>3.4482758620689655E-2</v>
      </c>
      <c r="F28" s="184" t="str">
        <f t="shared" ref="F28:F33" si="3">IF(E28="","",IF(E28&lt;=0.2,"🟢 Green",IF(E28&lt;=0.3,"🟡 Yellow","🔴 Red")))</f>
        <v>🟢 Green</v>
      </c>
      <c r="G28" s="183"/>
      <c r="H28" s="178"/>
    </row>
    <row r="29" spans="1:11">
      <c r="A29" s="12" t="s">
        <v>198</v>
      </c>
      <c r="B29" s="12" t="s">
        <v>162</v>
      </c>
      <c r="C29" s="47">
        <f>IFERROR(SUMIFS('🏃 Sprints'!H:H,'🏃 Sprints'!A:A,$A29,'🏃 Sprints'!B:B,$B29),0)</f>
        <v>34</v>
      </c>
      <c r="D29" s="48">
        <f>IFERROR(SUMIFS('🏃 Sprints'!J:J,'🏃 Sprints'!A:A,$A29,'🏃 Sprints'!B:B,$B29),0)</f>
        <v>404</v>
      </c>
      <c r="E29" s="46">
        <f t="shared" ref="E29:E33" si="4">C29/D29</f>
        <v>8.4158415841584164E-2</v>
      </c>
      <c r="F29" s="184" t="str">
        <f t="shared" si="3"/>
        <v>🟢 Green</v>
      </c>
      <c r="G29" s="183"/>
      <c r="H29" s="178"/>
    </row>
    <row r="30" spans="1:11">
      <c r="A30" s="12" t="s">
        <v>199</v>
      </c>
      <c r="B30" s="12" t="s">
        <v>162</v>
      </c>
      <c r="C30" s="47">
        <f>IFERROR(SUMIFS('🏃 Sprints'!H:H,'🏃 Sprints'!A:A,$A30,'🏃 Sprints'!B:B,$B30),0)</f>
        <v>75</v>
      </c>
      <c r="D30" s="48">
        <f>IFERROR(SUMIFS('🏃 Sprints'!J:J,'🏃 Sprints'!A:A,$A30,'🏃 Sprints'!B:B,$B30),0)</f>
        <v>215</v>
      </c>
      <c r="E30" s="46">
        <f t="shared" si="4"/>
        <v>0.34883720930232559</v>
      </c>
      <c r="F30" s="184" t="str">
        <f>IF(E30="","",IF(E30&lt;=0.2,"🟢 Green",IF(E30&lt;=0.3,"🟡 Yellow","🔴 Red")))</f>
        <v>🔴 Red</v>
      </c>
      <c r="G30" s="183"/>
      <c r="H30" s="178"/>
    </row>
    <row r="31" spans="1:11">
      <c r="A31" s="12" t="s">
        <v>200</v>
      </c>
      <c r="B31" s="12" t="s">
        <v>163</v>
      </c>
      <c r="C31" s="47">
        <f>IFERROR(SUMIFS('🏃 Sprints'!H:H,'🏃 Sprints'!A:A,$A31,'🏃 Sprints'!B:B,$B31),0)</f>
        <v>127</v>
      </c>
      <c r="D31" s="48">
        <f>IFERROR(SUMIFS('🏃 Sprints'!J:J,'🏃 Sprints'!A:A,$A31,'🏃 Sprints'!B:B,$B31),0)</f>
        <v>439</v>
      </c>
      <c r="E31" s="46">
        <f t="shared" si="4"/>
        <v>0.28929384965831434</v>
      </c>
      <c r="F31" s="184" t="str">
        <f t="shared" si="3"/>
        <v>🟡 Yellow</v>
      </c>
      <c r="G31" s="183"/>
      <c r="H31" s="178"/>
    </row>
    <row r="32" spans="1:11">
      <c r="A32" s="12" t="s">
        <v>201</v>
      </c>
      <c r="B32" s="12" t="s">
        <v>163</v>
      </c>
      <c r="C32" s="47">
        <f>IFERROR(SUMIFS('🏃 Sprints'!H:H,'🏃 Sprints'!A:A,$A32,'🏃 Sprints'!B:B,$B32),0)</f>
        <v>60</v>
      </c>
      <c r="D32" s="48">
        <f>IFERROR(SUMIFS('🏃 Sprints'!J:J,'🏃 Sprints'!A:A,$A32,'🏃 Sprints'!B:B,$B32),0)</f>
        <v>351</v>
      </c>
      <c r="E32" s="46">
        <f t="shared" si="4"/>
        <v>0.17094017094017094</v>
      </c>
      <c r="F32" s="184" t="str">
        <f t="shared" si="3"/>
        <v>🟢 Green</v>
      </c>
      <c r="G32" s="183"/>
      <c r="H32" s="178"/>
    </row>
    <row r="33" spans="1:11">
      <c r="A33" s="12" t="s">
        <v>202</v>
      </c>
      <c r="B33" s="12" t="s">
        <v>163</v>
      </c>
      <c r="C33" s="47">
        <f>IFERROR(SUMIFS('🏃 Sprints'!H:H,'🏃 Sprints'!A:A,$A33,'🏃 Sprints'!B:B,$B33),0)</f>
        <v>39</v>
      </c>
      <c r="D33" s="48">
        <f>IFERROR(SUMIFS('🏃 Sprints'!J:J,'🏃 Sprints'!A:A,$A33,'🏃 Sprints'!B:B,$B33),0)</f>
        <v>211</v>
      </c>
      <c r="E33" s="46">
        <f t="shared" si="4"/>
        <v>0.18483412322274881</v>
      </c>
      <c r="F33" s="184" t="str">
        <f t="shared" si="3"/>
        <v>🟢 Green</v>
      </c>
      <c r="G33" s="183"/>
      <c r="H33" s="178"/>
    </row>
    <row r="34" spans="1:11">
      <c r="A34" s="12" t="s">
        <v>203</v>
      </c>
      <c r="B34" s="12" t="s">
        <v>164</v>
      </c>
      <c r="C34" s="47">
        <f>IFERROR(SUMIFS('🏃 Sprints'!H:H,'🏃 Sprints'!A:A,$A34,'🏃 Sprints'!B:B,$B34),0)</f>
        <v>37</v>
      </c>
      <c r="D34" s="48">
        <f>IFERROR(SUMIFS('🏃 Sprints'!J:J,'🏃 Sprints'!A:A,$A34,'🏃 Sprints'!B:B,$B34),0)</f>
        <v>307</v>
      </c>
      <c r="E34" s="46">
        <f t="shared" ref="E34:E35" si="5">C34/D34</f>
        <v>0.12052117263843648</v>
      </c>
      <c r="F34" s="184" t="str">
        <f t="shared" ref="F34:F35" si="6">IF(E34="","",IF(E34&lt;=0.2,"🟢 Green",IF(E34&lt;=0.3,"🟡 Yellow","🔴 Red")))</f>
        <v>🟢 Green</v>
      </c>
      <c r="G34" s="183"/>
      <c r="H34" s="178"/>
    </row>
    <row r="35" spans="1:11" ht="37.5">
      <c r="A35" s="12" t="s">
        <v>204</v>
      </c>
      <c r="B35" s="12" t="s">
        <v>164</v>
      </c>
      <c r="C35" s="47">
        <f>IFERROR(SUMIFS('🏃 Sprints'!H:H,'🏃 Sprints'!A:A,$A35,'🏃 Sprints'!B:B,$B35),0)</f>
        <v>102</v>
      </c>
      <c r="D35" s="48">
        <f>IFERROR(SUMIFS('🏃 Sprints'!J:J,'🏃 Sprints'!A:A,$A35,'🏃 Sprints'!B:B,$B35),0)</f>
        <v>238</v>
      </c>
      <c r="E35" s="46">
        <f t="shared" si="5"/>
        <v>0.42857142857142855</v>
      </c>
      <c r="F35" s="184" t="str">
        <f t="shared" si="6"/>
        <v>🔴 Red</v>
      </c>
      <c r="G35" s="183" t="s">
        <v>205</v>
      </c>
      <c r="H35" s="187" t="s">
        <v>206</v>
      </c>
    </row>
    <row r="36" spans="1:11" ht="24.95">
      <c r="A36" s="12" t="s">
        <v>207</v>
      </c>
      <c r="B36" s="12" t="s">
        <v>35</v>
      </c>
      <c r="C36" s="47">
        <f>IFERROR(SUMIFS('🏃 Sprints'!H:H,'🏃 Sprints'!A:A,$A36,'🏃 Sprints'!B:B,$B36),0)</f>
        <v>61</v>
      </c>
      <c r="D36" s="48">
        <f>IFERROR(SUMIFS('🏃 Sprints'!J:J,'🏃 Sprints'!A:A,$A36,'🏃 Sprints'!B:B,$B36),0)</f>
        <v>300</v>
      </c>
      <c r="E36" s="46">
        <f>C36/D36</f>
        <v>0.20333333333333334</v>
      </c>
      <c r="F36" s="184" t="str">
        <f>IF(E36="","",IF(E36&lt;=0.2,"🟢 Green",IF(E36&lt;=0.3,"🟡 Yellow","🔴 Red")))</f>
        <v>🟡 Yellow</v>
      </c>
      <c r="G36" s="183" t="s">
        <v>208</v>
      </c>
      <c r="H36" s="186"/>
    </row>
    <row r="37" spans="1:11" ht="112.5">
      <c r="A37" s="179" t="s">
        <v>209</v>
      </c>
      <c r="B37" s="179" t="s">
        <v>35</v>
      </c>
      <c r="C37" s="209">
        <f>IFERROR(SUMIFS('🏃 Sprints'!H:H,'🏃 Sprints'!A:A,$A37,'🏃 Sprints'!B:B,$B37),0)</f>
        <v>90</v>
      </c>
      <c r="D37" s="210">
        <f>IFERROR(SUMIFS('🏃 Sprints'!J:J,'🏃 Sprints'!A:A,$A37,'🏃 Sprints'!B:B,$B37),0)</f>
        <v>257</v>
      </c>
      <c r="E37" s="211">
        <f>C37/D37</f>
        <v>0.35019455252918286</v>
      </c>
      <c r="F37" s="185" t="str">
        <f>IF(E37="","",IF(E37&lt;=0.2,"🟢 Green",IF(E37&lt;=0.3,"🟡 Yellow","🔴 Red")))</f>
        <v>🔴 Red</v>
      </c>
      <c r="G37" s="183" t="s">
        <v>210</v>
      </c>
      <c r="H37" s="178"/>
    </row>
    <row r="38" spans="1:11" ht="87.6">
      <c r="A38" s="179" t="s">
        <v>211</v>
      </c>
      <c r="B38" s="112" t="s">
        <v>165</v>
      </c>
      <c r="C38" s="209">
        <f>IFERROR(SUMIFS('🏃 Sprints'!H:H,'🏃 Sprints'!A:A,$A38,'🏃 Sprints'!B:B,$B38),0)</f>
        <v>104</v>
      </c>
      <c r="D38" s="210">
        <f>IFERROR(SUMIFS('🏃 Sprints'!J:J,'🏃 Sprints'!A:A,$A38,'🏃 Sprints'!B:B,$B38),0)</f>
        <v>317</v>
      </c>
      <c r="E38" s="211">
        <f>C38/D38</f>
        <v>0.32807570977917982</v>
      </c>
      <c r="F38" s="185" t="str">
        <f>IF(E38="","",IF(E38&lt;=0.2,"🟢 Green",IF(E38&lt;=0.3,"🟡 Yellow","🔴 Red")))</f>
        <v>🔴 Red</v>
      </c>
      <c r="G38" s="183" t="s">
        <v>212</v>
      </c>
      <c r="H38" s="178"/>
    </row>
    <row r="39" spans="1:11" ht="87.6">
      <c r="A39" s="179" t="s">
        <v>213</v>
      </c>
      <c r="B39" s="112" t="s">
        <v>165</v>
      </c>
      <c r="C39" s="209">
        <f>IFERROR(SUMIFS('🏃 Sprints'!H:H,'🏃 Sprints'!A:A,$A39,'🏃 Sprints'!B:B,$B39),0)</f>
        <v>73</v>
      </c>
      <c r="D39" s="210">
        <f>IFERROR(SUMIFS('🏃 Sprints'!J:J,'🏃 Sprints'!A:A,$A39,'🏃 Sprints'!B:B,$B39),0)</f>
        <v>202</v>
      </c>
      <c r="E39" s="211">
        <f>C39/D39</f>
        <v>0.36138613861386137</v>
      </c>
      <c r="F39" s="185" t="str">
        <f>IF(E39="","",IF(E39&lt;=0.2,"🟢 Green",IF(E39&lt;=0.3,"🟡 Yellow","🔴 Red")))</f>
        <v>🔴 Red</v>
      </c>
      <c r="G39" s="183" t="s">
        <v>212</v>
      </c>
      <c r="H39" s="178"/>
    </row>
    <row r="40" spans="1:11">
      <c r="A40" s="110"/>
      <c r="B40" s="112"/>
      <c r="C40" s="180"/>
      <c r="D40" s="180"/>
      <c r="E40" s="181" t="str">
        <f t="shared" ref="E39:E40" si="7">IF(C40+D40=0,"",C40+D40)</f>
        <v/>
      </c>
      <c r="F40" s="182" t="str">
        <f t="shared" ref="F39:F40" si="8">IFERROR(IF(E40="","",E40/B40),"")</f>
        <v/>
      </c>
      <c r="G40" s="183" t="str">
        <f t="shared" ref="G39:G40" si="9">IF(F40="","",IF(F40&lt;=0.2,"🟢 Green",IF(F40&lt;=0.3,"🟡 Yellow","🔴 Red")))</f>
        <v/>
      </c>
      <c r="H40" s="178"/>
    </row>
    <row r="41" spans="1:11">
      <c r="A41" s="84"/>
      <c r="B41" s="85"/>
      <c r="C41" s="86"/>
      <c r="D41" s="86"/>
      <c r="E41" s="87"/>
      <c r="F41" s="88"/>
      <c r="G41" s="66"/>
    </row>
    <row r="44" spans="1:11">
      <c r="A44" s="266" t="s">
        <v>214</v>
      </c>
      <c r="B44" s="266"/>
      <c r="C44" s="266"/>
      <c r="D44" s="266"/>
      <c r="E44" s="266"/>
      <c r="F44" s="266"/>
      <c r="G44" s="266"/>
      <c r="H44" s="266"/>
      <c r="I44" s="266"/>
      <c r="J44" s="266"/>
      <c r="K44" s="266"/>
    </row>
    <row r="45" spans="1:11">
      <c r="A45" s="265" t="s">
        <v>215</v>
      </c>
      <c r="B45" s="265"/>
      <c r="C45" s="265"/>
      <c r="D45" s="265"/>
      <c r="E45" s="265"/>
      <c r="F45" s="265"/>
      <c r="G45" s="265"/>
      <c r="H45" s="265"/>
      <c r="I45" s="265"/>
      <c r="J45" s="265"/>
      <c r="K45" s="265"/>
    </row>
    <row r="46" spans="1:11" ht="26.1">
      <c r="A46" s="50" t="s">
        <v>193</v>
      </c>
      <c r="B46" s="50" t="s">
        <v>155</v>
      </c>
      <c r="C46" s="50" t="s">
        <v>216</v>
      </c>
      <c r="D46" s="50" t="s">
        <v>217</v>
      </c>
      <c r="E46" s="50" t="s">
        <v>218</v>
      </c>
      <c r="F46" s="50" t="s">
        <v>69</v>
      </c>
      <c r="G46" s="50" t="s">
        <v>100</v>
      </c>
    </row>
    <row r="47" spans="1:11">
      <c r="A47" s="12" t="s">
        <v>197</v>
      </c>
      <c r="B47" s="12" t="s">
        <v>161</v>
      </c>
      <c r="C47" s="48">
        <f>IFERROR(SUMIFS(FTPR!H:H,FTPR!A:A,$A47,FTPR!E:E,$B47),0)</f>
        <v>0</v>
      </c>
      <c r="D47" s="48">
        <f>IFERROR(SUMIFS(FTPR!F:F,FTPR!A:A,$A47,FTPR!E:E,$B47),0)</f>
        <v>0</v>
      </c>
      <c r="E47" s="46" t="e">
        <f t="shared" ref="E47:E50" si="10">C47/D47</f>
        <v>#DIV/0!</v>
      </c>
      <c r="F47" s="5" t="e">
        <f t="shared" ref="F47:F50" si="11">IF(E47="","",IF(E47&gt;=0.95,"🟢 Green",IF(E47&lt;0.85,"🟡 Yellow","🔴 Red")))</f>
        <v>#DIV/0!</v>
      </c>
      <c r="G47" s="6"/>
    </row>
    <row r="48" spans="1:11">
      <c r="A48" s="12" t="s">
        <v>198</v>
      </c>
      <c r="B48" s="12" t="s">
        <v>162</v>
      </c>
      <c r="C48" s="48">
        <f>IFERROR(SUMIFS(FTPR!H:H,FTPR!A:A,$A48,FTPR!E:E,$B48),0)</f>
        <v>0</v>
      </c>
      <c r="D48" s="48">
        <f>IFERROR(SUMIFS(FTPR!F:F,FTPR!A:A,$A48,FTPR!E:E,$B48),0)</f>
        <v>0</v>
      </c>
      <c r="E48" s="46" t="e">
        <f t="shared" si="10"/>
        <v>#DIV/0!</v>
      </c>
      <c r="F48" s="5" t="e">
        <f t="shared" si="11"/>
        <v>#DIV/0!</v>
      </c>
      <c r="G48" s="6"/>
    </row>
    <row r="49" spans="1:11">
      <c r="A49" s="12" t="s">
        <v>199</v>
      </c>
      <c r="B49" s="12" t="s">
        <v>162</v>
      </c>
      <c r="C49" s="48">
        <f>IFERROR(SUMIFS(FTPR!H:H,FTPR!A:A,$A49,FTPR!E:E,$B49),0)</f>
        <v>0</v>
      </c>
      <c r="D49" s="48">
        <f>IFERROR(SUMIFS(FTPR!F:F,FTPR!A:A,$A49,FTPR!E:E,$B49),0)</f>
        <v>0</v>
      </c>
      <c r="E49" s="46" t="e">
        <f t="shared" si="10"/>
        <v>#DIV/0!</v>
      </c>
      <c r="F49" s="5" t="e">
        <f t="shared" si="11"/>
        <v>#DIV/0!</v>
      </c>
      <c r="G49" s="6"/>
    </row>
    <row r="50" spans="1:11">
      <c r="A50" s="12" t="s">
        <v>200</v>
      </c>
      <c r="B50" s="12" t="s">
        <v>163</v>
      </c>
      <c r="C50" s="48">
        <f>IFERROR(SUMIFS(FTPR!H:H,FTPR!A:A,$A50,FTPR!E:E,$B50),0)</f>
        <v>0</v>
      </c>
      <c r="D50" s="48">
        <f>IFERROR(SUMIFS(FTPR!F:F,FTPR!A:A,$A50,FTPR!E:E,$B50),0)</f>
        <v>0</v>
      </c>
      <c r="E50" s="46" t="e">
        <f t="shared" si="10"/>
        <v>#DIV/0!</v>
      </c>
      <c r="F50" s="5" t="e">
        <f t="shared" si="11"/>
        <v>#DIV/0!</v>
      </c>
      <c r="G50" s="6"/>
    </row>
    <row r="51" spans="1:11">
      <c r="A51" s="12" t="s">
        <v>201</v>
      </c>
      <c r="B51" s="12" t="s">
        <v>163</v>
      </c>
      <c r="C51" s="48">
        <f>IFERROR(SUMIFS(FTPR!H:H,FTPR!A:A,$A51,FTPR!E:E,$B51),0)</f>
        <v>84</v>
      </c>
      <c r="D51" s="48">
        <f>IFERROR(SUMIFS(FTPR!F:F,FTPR!A:A,$A51,FTPR!E:E,$B51),0)</f>
        <v>98</v>
      </c>
      <c r="E51" s="46">
        <f t="shared" ref="E51" si="12">C51/D51</f>
        <v>0.8571428571428571</v>
      </c>
      <c r="F51" s="5" t="str">
        <f t="shared" ref="F51:F56" si="13">IF(E51="","",IF(E51&gt;=0.95,"🟢 Green",IF(E51&lt;0.85,"🔴 Red","🟡 Yellow")))</f>
        <v>🟡 Yellow</v>
      </c>
      <c r="G51" s="6"/>
    </row>
    <row r="52" spans="1:11">
      <c r="A52" s="12" t="s">
        <v>202</v>
      </c>
      <c r="B52" s="12" t="s">
        <v>163</v>
      </c>
      <c r="C52" s="48">
        <f>IFERROR(SUMIFS(FTPR!H:H,FTPR!A:A,$A52,FTPR!E:E,$B52),0)</f>
        <v>67</v>
      </c>
      <c r="D52" s="48">
        <f>IFERROR(SUMIFS(FTPR!F:F,FTPR!A:A,$A52,FTPR!E:E,$B52),0)</f>
        <v>77</v>
      </c>
      <c r="E52" s="46">
        <f t="shared" ref="E52" si="14">C52/D52</f>
        <v>0.87012987012987009</v>
      </c>
      <c r="F52" s="5" t="str">
        <f t="shared" si="13"/>
        <v>🟡 Yellow</v>
      </c>
      <c r="G52" s="6"/>
    </row>
    <row r="53" spans="1:11" ht="24.95">
      <c r="A53" s="12" t="s">
        <v>203</v>
      </c>
      <c r="B53" s="12" t="s">
        <v>164</v>
      </c>
      <c r="C53" s="48">
        <f>IFERROR(SUMIFS(FTPR!H:H,FTPR!A:A,$A53,FTPR!E:E,$B53),0)</f>
        <v>89</v>
      </c>
      <c r="D53" s="48">
        <f>IFERROR(SUMIFS(FTPR!F:F,FTPR!A:A,$A53,FTPR!E:E,$B53),0)</f>
        <v>119</v>
      </c>
      <c r="E53" s="46">
        <f t="shared" ref="E53" si="15">C53/D53</f>
        <v>0.74789915966386555</v>
      </c>
      <c r="F53" s="5" t="str">
        <f t="shared" si="13"/>
        <v>🔴 Red</v>
      </c>
      <c r="G53" s="6" t="s">
        <v>219</v>
      </c>
    </row>
    <row r="54" spans="1:11" ht="75">
      <c r="A54" s="12" t="s">
        <v>204</v>
      </c>
      <c r="B54" s="12" t="s">
        <v>164</v>
      </c>
      <c r="C54" s="48">
        <f>IFERROR(SUMIFS(FTPR!H:H,FTPR!A:A,$A54,FTPR!E:E,$B54),0)</f>
        <v>66</v>
      </c>
      <c r="D54" s="48">
        <f>IFERROR(SUMIFS(FTPR!F:F,FTPR!A:A,$A54,FTPR!E:E,$B54),0)</f>
        <v>73</v>
      </c>
      <c r="E54" s="46">
        <f t="shared" ref="E54" si="16">C54/D54</f>
        <v>0.90410958904109584</v>
      </c>
      <c r="F54" s="5" t="str">
        <f t="shared" si="13"/>
        <v>🟡 Yellow</v>
      </c>
      <c r="G54" s="6" t="s">
        <v>220</v>
      </c>
    </row>
    <row r="55" spans="1:11" ht="37.5">
      <c r="A55" s="12" t="s">
        <v>207</v>
      </c>
      <c r="B55" s="12" t="s">
        <v>35</v>
      </c>
      <c r="C55" s="48">
        <f>IFERROR(SUMIFS(FTPR!H:H,FTPR!A:A,$A55,FTPR!E:E,$B55),0)</f>
        <v>83</v>
      </c>
      <c r="D55" s="48">
        <f>IFERROR(SUMIFS(FTPR!F:F,FTPR!A:A,$A55,FTPR!E:E,$B55),0)</f>
        <v>107</v>
      </c>
      <c r="E55" s="46">
        <f>C55/D55</f>
        <v>0.77570093457943923</v>
      </c>
      <c r="F55" s="5" t="str">
        <f t="shared" si="13"/>
        <v>🔴 Red</v>
      </c>
      <c r="G55" s="6" t="s">
        <v>221</v>
      </c>
    </row>
    <row r="56" spans="1:11" ht="24.95">
      <c r="A56" s="12" t="s">
        <v>209</v>
      </c>
      <c r="B56" s="12" t="s">
        <v>35</v>
      </c>
      <c r="C56" s="48">
        <f>IFERROR(SUMIFS(FTPR!H:H,FTPR!A:A,$A56,FTPR!E:E,$B56),0)</f>
        <v>64</v>
      </c>
      <c r="D56" s="48">
        <f>IFERROR(SUMIFS(FTPR!F:F,FTPR!A:A,$A56,FTPR!E:E,$B56),0)</f>
        <v>73</v>
      </c>
      <c r="E56" s="46">
        <f>C56/D56</f>
        <v>0.87671232876712324</v>
      </c>
      <c r="F56" s="5" t="str">
        <f t="shared" si="13"/>
        <v>🟡 Yellow</v>
      </c>
      <c r="G56" s="6" t="s">
        <v>222</v>
      </c>
    </row>
    <row r="57" spans="1:11" ht="37.5">
      <c r="A57" s="12" t="s">
        <v>211</v>
      </c>
      <c r="B57" s="12" t="s">
        <v>165</v>
      </c>
      <c r="C57" s="48">
        <f>IFERROR(SUMIFS(FTPR!H:H,FTPR!A:A,$A57,FTPR!E:E,$B57),0)</f>
        <v>81</v>
      </c>
      <c r="D57" s="48">
        <f>IFERROR(SUMIFS(FTPR!F:F,FTPR!A:A,$A57,FTPR!E:E,$B57),0)</f>
        <v>102</v>
      </c>
      <c r="E57" s="46">
        <f>C57/D57</f>
        <v>0.79411764705882348</v>
      </c>
      <c r="F57" s="5" t="str">
        <f>IF(E57="","",IF(E57&gt;=0.95,"🟢 Green",IF(E57&lt;0.85,"🔴 Red","🟡 Yellow")))</f>
        <v>🔴 Red</v>
      </c>
      <c r="G57" s="223" t="s">
        <v>223</v>
      </c>
      <c r="H57" s="191" t="s">
        <v>224</v>
      </c>
    </row>
    <row r="58" spans="1:11">
      <c r="A58" s="12" t="s">
        <v>213</v>
      </c>
      <c r="B58" s="12" t="s">
        <v>165</v>
      </c>
      <c r="C58" s="48">
        <f>IFERROR(SUMIFS(FTPR!H:H,FTPR!A:A,$A58,FTPR!E:E,$B58),0)</f>
        <v>51</v>
      </c>
      <c r="D58" s="48">
        <f>IFERROR(SUMIFS(FTPR!F:F,FTPR!A:A,$A58,FTPR!E:E,$B58),0)</f>
        <v>60</v>
      </c>
      <c r="E58" s="46">
        <f>C58/D58</f>
        <v>0.85</v>
      </c>
      <c r="F58" s="184" t="str">
        <f>IF(E58="","",IF(E58&gt;=0.95,"🟢 Green",IF(E58&lt;0.85,"🔴 Red","🟡 Yellow")))</f>
        <v>🟡 Yellow</v>
      </c>
      <c r="G58" s="192" t="s">
        <v>225</v>
      </c>
    </row>
    <row r="60" spans="1:11">
      <c r="A60" s="264" t="s">
        <v>226</v>
      </c>
      <c r="B60" s="264"/>
      <c r="C60" s="264"/>
      <c r="D60" s="264"/>
      <c r="E60" s="264"/>
      <c r="F60" s="264"/>
      <c r="G60" s="264"/>
      <c r="H60" s="264"/>
      <c r="I60" s="264"/>
      <c r="J60" s="264"/>
      <c r="K60" s="264"/>
    </row>
    <row r="61" spans="1:11">
      <c r="A61" s="164" t="s">
        <v>227</v>
      </c>
      <c r="B61" s="164" t="s">
        <v>228</v>
      </c>
      <c r="C61" s="174" t="s">
        <v>229</v>
      </c>
      <c r="D61" s="174" t="s">
        <v>230</v>
      </c>
      <c r="E61" s="174" t="s">
        <v>231</v>
      </c>
      <c r="F61" s="174" t="s">
        <v>232</v>
      </c>
      <c r="G61" s="174" t="s">
        <v>233</v>
      </c>
      <c r="H61" s="164" t="s">
        <v>234</v>
      </c>
      <c r="I61" s="174" t="s">
        <v>235</v>
      </c>
    </row>
    <row r="62" spans="1:11" ht="29.1">
      <c r="A62" s="167" t="s">
        <v>236</v>
      </c>
      <c r="B62" s="167" t="s">
        <v>109</v>
      </c>
      <c r="C62" s="167">
        <v>48</v>
      </c>
      <c r="D62" s="167" t="s">
        <v>237</v>
      </c>
      <c r="E62" s="167">
        <v>0</v>
      </c>
      <c r="F62" s="167">
        <v>71</v>
      </c>
      <c r="G62" s="167">
        <v>0</v>
      </c>
      <c r="H62" s="169" t="s">
        <v>238</v>
      </c>
      <c r="I62" s="167">
        <v>23</v>
      </c>
    </row>
    <row r="63" spans="1:11">
      <c r="A63" s="167" t="s">
        <v>239</v>
      </c>
      <c r="B63" s="167" t="s">
        <v>109</v>
      </c>
      <c r="C63" s="167">
        <v>16</v>
      </c>
      <c r="D63" s="167">
        <v>7</v>
      </c>
      <c r="E63" s="167">
        <v>5</v>
      </c>
      <c r="F63" s="167">
        <v>12</v>
      </c>
      <c r="G63" s="170">
        <v>0.71</v>
      </c>
      <c r="H63" s="165" t="s">
        <v>240</v>
      </c>
      <c r="I63" s="167">
        <v>1</v>
      </c>
    </row>
    <row r="64" spans="1:11" ht="29.1">
      <c r="A64" s="167" t="s">
        <v>241</v>
      </c>
      <c r="B64" s="167" t="s">
        <v>109</v>
      </c>
      <c r="C64" s="167">
        <v>17</v>
      </c>
      <c r="D64" s="167">
        <v>2</v>
      </c>
      <c r="E64" s="167">
        <v>1</v>
      </c>
      <c r="F64" s="167">
        <v>24</v>
      </c>
      <c r="G64" s="172">
        <v>0.5</v>
      </c>
      <c r="H64" s="169" t="s">
        <v>242</v>
      </c>
      <c r="I64" s="167">
        <v>7</v>
      </c>
    </row>
    <row r="65" spans="1:9" ht="29.1">
      <c r="A65" s="167" t="s">
        <v>236</v>
      </c>
      <c r="B65" s="167" t="s">
        <v>110</v>
      </c>
      <c r="C65" s="167">
        <v>16</v>
      </c>
      <c r="D65" s="167" t="s">
        <v>243</v>
      </c>
      <c r="E65" s="167">
        <v>2</v>
      </c>
      <c r="F65" s="167">
        <v>87</v>
      </c>
      <c r="G65" s="173">
        <v>0.28570000000000001</v>
      </c>
      <c r="H65" s="169" t="s">
        <v>244</v>
      </c>
      <c r="I65" s="167">
        <v>73</v>
      </c>
    </row>
    <row r="66" spans="1:9" ht="29.1">
      <c r="A66" s="167" t="s">
        <v>239</v>
      </c>
      <c r="B66" s="167" t="s">
        <v>110</v>
      </c>
      <c r="C66" s="167">
        <v>57</v>
      </c>
      <c r="D66" s="167">
        <v>6</v>
      </c>
      <c r="E66" s="167">
        <v>0</v>
      </c>
      <c r="F66" s="167">
        <v>60</v>
      </c>
      <c r="G66" s="172">
        <v>0</v>
      </c>
      <c r="H66" s="169" t="s">
        <v>245</v>
      </c>
      <c r="I66" s="167">
        <v>3</v>
      </c>
    </row>
    <row r="67" spans="1:9">
      <c r="A67" s="167" t="s">
        <v>241</v>
      </c>
      <c r="B67" s="167" t="s">
        <v>110</v>
      </c>
      <c r="C67" s="167">
        <v>8</v>
      </c>
      <c r="D67" s="167">
        <v>0</v>
      </c>
      <c r="E67" s="167">
        <v>0</v>
      </c>
      <c r="F67" s="167">
        <v>11</v>
      </c>
      <c r="G67" s="171" t="s">
        <v>246</v>
      </c>
      <c r="H67" s="169"/>
      <c r="I67" s="167">
        <v>3</v>
      </c>
    </row>
    <row r="68" spans="1:9">
      <c r="A68" s="168" t="s">
        <v>247</v>
      </c>
      <c r="B68" s="168" t="s">
        <v>111</v>
      </c>
      <c r="C68" s="168">
        <v>20</v>
      </c>
      <c r="D68" s="168">
        <v>0</v>
      </c>
      <c r="E68" s="168">
        <v>0</v>
      </c>
      <c r="F68" s="168">
        <v>28</v>
      </c>
      <c r="G68" s="168" t="s">
        <v>246</v>
      </c>
      <c r="H68" s="166"/>
      <c r="I68" s="168">
        <v>28</v>
      </c>
    </row>
    <row r="69" spans="1:9">
      <c r="A69" s="167" t="s">
        <v>239</v>
      </c>
      <c r="B69" s="167" t="s">
        <v>111</v>
      </c>
      <c r="C69" s="167">
        <v>52</v>
      </c>
      <c r="D69" s="168">
        <v>0</v>
      </c>
      <c r="E69" s="167">
        <v>0</v>
      </c>
      <c r="F69" s="167">
        <v>75</v>
      </c>
      <c r="G69" s="168" t="s">
        <v>246</v>
      </c>
      <c r="H69" s="166"/>
      <c r="I69" s="167">
        <v>23</v>
      </c>
    </row>
    <row r="70" spans="1:9" ht="29.1">
      <c r="A70" s="167" t="s">
        <v>241</v>
      </c>
      <c r="B70" s="167" t="s">
        <v>111</v>
      </c>
      <c r="C70" s="167">
        <v>19</v>
      </c>
      <c r="D70" s="167">
        <v>2</v>
      </c>
      <c r="E70" s="167">
        <v>0</v>
      </c>
      <c r="F70" s="167">
        <v>21</v>
      </c>
      <c r="G70" s="172">
        <v>0</v>
      </c>
      <c r="H70" s="169" t="s">
        <v>248</v>
      </c>
      <c r="I70" s="167">
        <v>3</v>
      </c>
    </row>
    <row r="71" spans="1:9">
      <c r="A71" s="168" t="s">
        <v>247</v>
      </c>
      <c r="B71" s="168" t="s">
        <v>112</v>
      </c>
      <c r="C71" s="168">
        <v>29</v>
      </c>
      <c r="D71" s="168">
        <v>0</v>
      </c>
      <c r="E71" s="168">
        <v>0</v>
      </c>
      <c r="F71" s="168">
        <v>82</v>
      </c>
      <c r="G71" s="168" t="s">
        <v>246</v>
      </c>
      <c r="H71" s="166"/>
      <c r="I71" s="168">
        <v>53</v>
      </c>
    </row>
    <row r="72" spans="1:9">
      <c r="A72" s="167" t="s">
        <v>239</v>
      </c>
      <c r="B72" s="168" t="s">
        <v>112</v>
      </c>
      <c r="C72" s="168">
        <v>30</v>
      </c>
      <c r="D72" s="168">
        <v>0</v>
      </c>
      <c r="E72" s="168">
        <v>0</v>
      </c>
      <c r="F72" s="168">
        <v>49</v>
      </c>
      <c r="G72" s="168" t="s">
        <v>246</v>
      </c>
      <c r="H72" s="166"/>
      <c r="I72" s="168">
        <v>19</v>
      </c>
    </row>
    <row r="73" spans="1:9" ht="29.1">
      <c r="A73" s="167" t="s">
        <v>241</v>
      </c>
      <c r="B73" s="167" t="s">
        <v>112</v>
      </c>
      <c r="C73" s="167">
        <v>4</v>
      </c>
      <c r="D73" s="167">
        <v>2</v>
      </c>
      <c r="E73" s="167">
        <v>0</v>
      </c>
      <c r="F73" s="167">
        <v>5</v>
      </c>
      <c r="G73" s="171">
        <v>0</v>
      </c>
      <c r="H73" s="169" t="s">
        <v>248</v>
      </c>
      <c r="I73" s="167">
        <v>1</v>
      </c>
    </row>
    <row r="74" spans="1:9">
      <c r="A74" s="215" t="s">
        <v>247</v>
      </c>
      <c r="B74" s="215" t="s">
        <v>113</v>
      </c>
      <c r="C74" s="192">
        <v>29</v>
      </c>
      <c r="D74" s="192">
        <v>14</v>
      </c>
      <c r="E74" s="192">
        <v>10</v>
      </c>
      <c r="F74" s="192">
        <v>4</v>
      </c>
      <c r="G74" s="193">
        <v>0.71430000000000005</v>
      </c>
      <c r="H74" s="106"/>
      <c r="I74" s="106"/>
    </row>
    <row r="75" spans="1:9">
      <c r="A75" s="216" t="s">
        <v>239</v>
      </c>
      <c r="B75" s="215" t="s">
        <v>113</v>
      </c>
      <c r="C75" s="192">
        <v>4</v>
      </c>
      <c r="D75" s="192">
        <v>1</v>
      </c>
      <c r="E75" s="192">
        <v>0</v>
      </c>
      <c r="F75" s="192">
        <v>1</v>
      </c>
      <c r="G75" s="194">
        <v>0</v>
      </c>
      <c r="H75" s="106" t="s">
        <v>249</v>
      </c>
      <c r="I75" s="106"/>
    </row>
    <row r="76" spans="1:9">
      <c r="A76" s="216" t="s">
        <v>241</v>
      </c>
      <c r="B76" s="215" t="s">
        <v>113</v>
      </c>
      <c r="C76" s="192">
        <v>23</v>
      </c>
      <c r="D76" s="192">
        <v>4</v>
      </c>
      <c r="E76" s="192">
        <v>0</v>
      </c>
      <c r="F76" s="192">
        <v>4</v>
      </c>
      <c r="G76" s="194">
        <v>0</v>
      </c>
      <c r="H76" s="106" t="s">
        <v>250</v>
      </c>
      <c r="I76" s="106"/>
    </row>
    <row r="77" spans="1:9">
      <c r="A77" s="215" t="s">
        <v>247</v>
      </c>
      <c r="B77" s="215" t="s">
        <v>114</v>
      </c>
      <c r="C77" s="192">
        <v>17</v>
      </c>
      <c r="D77" s="192">
        <v>9</v>
      </c>
      <c r="E77" s="192">
        <v>2</v>
      </c>
      <c r="F77" s="192">
        <v>7</v>
      </c>
      <c r="G77" s="193">
        <v>0.22220000000000001</v>
      </c>
      <c r="H77" s="106"/>
      <c r="I77" s="106"/>
    </row>
    <row r="78" spans="1:9">
      <c r="A78" s="216" t="s">
        <v>239</v>
      </c>
      <c r="B78" s="215" t="s">
        <v>114</v>
      </c>
      <c r="C78" s="192">
        <v>8</v>
      </c>
      <c r="D78" s="192">
        <v>0</v>
      </c>
      <c r="E78" s="192">
        <v>0</v>
      </c>
      <c r="F78" s="192">
        <v>8</v>
      </c>
      <c r="G78" s="194">
        <v>0</v>
      </c>
      <c r="H78" s="106" t="s">
        <v>251</v>
      </c>
      <c r="I78" s="106"/>
    </row>
    <row r="79" spans="1:9">
      <c r="A79" s="216" t="s">
        <v>241</v>
      </c>
      <c r="B79" s="215" t="s">
        <v>114</v>
      </c>
      <c r="C79" s="192">
        <v>8</v>
      </c>
      <c r="D79" s="192">
        <v>1</v>
      </c>
      <c r="E79" s="192">
        <v>0</v>
      </c>
      <c r="F79" s="192">
        <v>8</v>
      </c>
      <c r="G79" s="194">
        <v>0</v>
      </c>
      <c r="H79" s="106" t="s">
        <v>252</v>
      </c>
      <c r="I79" s="106"/>
    </row>
  </sheetData>
  <mergeCells count="10">
    <mergeCell ref="A60:K60"/>
    <mergeCell ref="A1:K1"/>
    <mergeCell ref="A26:K26"/>
    <mergeCell ref="A44:K44"/>
    <mergeCell ref="A45:K45"/>
    <mergeCell ref="B5:H5"/>
    <mergeCell ref="B2:H2"/>
    <mergeCell ref="A4:K4"/>
    <mergeCell ref="A18:K18"/>
    <mergeCell ref="A25:K25"/>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2"/>
  <sheetViews>
    <sheetView showGridLines="0" topLeftCell="A3" zoomScale="80" zoomScaleNormal="80" workbookViewId="0">
      <selection activeCell="F11" sqref="F11:G12"/>
    </sheetView>
  </sheetViews>
  <sheetFormatPr defaultColWidth="8.7109375" defaultRowHeight="14.45"/>
  <cols>
    <col min="1" max="1" width="13.42578125" customWidth="1"/>
    <col min="2" max="2" width="12" customWidth="1"/>
    <col min="3" max="4" width="17.28515625" bestFit="1" customWidth="1"/>
    <col min="5" max="5" width="17.42578125" customWidth="1"/>
    <col min="6" max="6" width="12" customWidth="1"/>
    <col min="7" max="7" width="17.5703125" customWidth="1"/>
    <col min="8" max="8" width="16.85546875" customWidth="1"/>
    <col min="9" max="9" width="24.42578125" customWidth="1"/>
    <col min="10" max="10" width="27.42578125" customWidth="1"/>
    <col min="11" max="11" width="13.85546875" customWidth="1"/>
    <col min="12" max="12" width="15.140625" customWidth="1"/>
    <col min="13" max="13" width="12" customWidth="1"/>
    <col min="14" max="15" width="20.85546875" customWidth="1"/>
    <col min="16" max="16" width="34.5703125" customWidth="1"/>
  </cols>
  <sheetData>
    <row r="1" spans="1:17" ht="27.75" customHeight="1">
      <c r="A1" s="260" t="s">
        <v>253</v>
      </c>
      <c r="B1" s="260"/>
      <c r="C1" s="260"/>
      <c r="D1" s="260"/>
      <c r="E1" s="260"/>
      <c r="F1" s="260"/>
      <c r="G1" s="260"/>
      <c r="H1" s="260"/>
      <c r="I1" s="260"/>
      <c r="J1" s="260"/>
      <c r="K1" s="260"/>
      <c r="L1" s="260"/>
      <c r="M1" s="260"/>
      <c r="N1" s="260"/>
      <c r="O1" s="260"/>
      <c r="P1" s="260"/>
    </row>
    <row r="2" spans="1:17" ht="37.9" customHeight="1">
      <c r="A2" s="268" t="s">
        <v>254</v>
      </c>
      <c r="B2" s="269"/>
      <c r="C2" s="269"/>
      <c r="D2" s="269"/>
      <c r="E2" s="269"/>
      <c r="F2" s="269"/>
      <c r="G2" s="269"/>
      <c r="H2" s="269"/>
      <c r="I2" s="269"/>
      <c r="J2" s="269"/>
      <c r="K2" s="269"/>
      <c r="L2" s="269"/>
      <c r="M2" s="269"/>
      <c r="N2" s="269"/>
      <c r="O2" s="269"/>
      <c r="P2" s="270"/>
    </row>
    <row r="3" spans="1:17" ht="19.5" customHeight="1">
      <c r="A3" s="262" t="s">
        <v>255</v>
      </c>
      <c r="B3" s="262"/>
      <c r="C3" s="262"/>
      <c r="D3" s="262"/>
      <c r="E3" s="262"/>
      <c r="F3" s="262"/>
      <c r="G3" s="262"/>
      <c r="H3" s="262"/>
      <c r="I3" s="262"/>
      <c r="J3" s="262"/>
      <c r="K3" s="262"/>
      <c r="L3" s="262"/>
      <c r="M3" s="262"/>
      <c r="N3" s="262"/>
      <c r="O3" s="262"/>
      <c r="P3" s="262"/>
    </row>
    <row r="4" spans="1:17" ht="30" customHeight="1">
      <c r="A4" s="1" t="s">
        <v>193</v>
      </c>
      <c r="B4" s="1" t="s">
        <v>155</v>
      </c>
      <c r="C4" s="1" t="s">
        <v>256</v>
      </c>
      <c r="D4" s="1" t="s">
        <v>257</v>
      </c>
      <c r="E4" s="1" t="s">
        <v>258</v>
      </c>
      <c r="F4" s="1" t="s">
        <v>259</v>
      </c>
      <c r="G4" s="1" t="s">
        <v>260</v>
      </c>
      <c r="H4" s="1" t="s">
        <v>261</v>
      </c>
      <c r="I4" s="1" t="s">
        <v>262</v>
      </c>
      <c r="J4" s="1" t="s">
        <v>263</v>
      </c>
      <c r="K4" s="1" t="s">
        <v>264</v>
      </c>
      <c r="L4" s="1" t="s">
        <v>265</v>
      </c>
      <c r="M4" s="1" t="s">
        <v>55</v>
      </c>
      <c r="N4" s="1" t="s">
        <v>266</v>
      </c>
      <c r="O4" s="1" t="s">
        <v>267</v>
      </c>
      <c r="P4" s="1" t="s">
        <v>100</v>
      </c>
    </row>
    <row r="5" spans="1:17" ht="30" customHeight="1">
      <c r="A5" s="12" t="s">
        <v>197</v>
      </c>
      <c r="B5" s="12" t="s">
        <v>161</v>
      </c>
      <c r="C5" s="48">
        <f>SUMIFS('Team Sprints Input'!F:F,'Team Sprints Input'!$A:$A,$A5)</f>
        <v>250</v>
      </c>
      <c r="D5" s="48">
        <f>SUMIFS('Team Sprints Input'!G:G,'Team Sprints Input'!$A:$A,$A5)</f>
        <v>24</v>
      </c>
      <c r="E5" s="48">
        <f>SUMIFS('Team Sprints Input'!H:H,'Team Sprints Input'!$A:$A,$A5)</f>
        <v>10</v>
      </c>
      <c r="F5" s="48">
        <f>SUMIFS('Team Sprints Input'!I:I,'Team Sprints Input'!$A:$A,$A5)</f>
        <v>112</v>
      </c>
      <c r="G5" s="48">
        <f>SUMIFS('Team Sprints Input'!J:J,'Team Sprints Input'!$A:$A,$A5)</f>
        <v>8</v>
      </c>
      <c r="H5" s="48">
        <f>SUMIFS('Team Sprints Input'!K:K,'Team Sprints Input'!$A:$A,$A5)</f>
        <v>4</v>
      </c>
      <c r="I5" s="9">
        <f>C5+E5</f>
        <v>260</v>
      </c>
      <c r="J5" s="9">
        <f>F5+H5</f>
        <v>116</v>
      </c>
      <c r="K5" s="9">
        <f>SUMIFS('Team Sprints Input'!N:N, 'Team Sprints Input'!A:A, A5, 'Team Sprints Input'!E:E, B5)</f>
        <v>116</v>
      </c>
      <c r="L5" s="5">
        <f>IFERROR(J5/K5,"")</f>
        <v>1</v>
      </c>
      <c r="M5" s="6" t="str">
        <f t="shared" ref="M5:M16" si="0">IF(L5="","",IF(L5&gt;=0.85,"🟢 Green",IF(L5&gt;=0.75,"🟡 Yellow","🔴 Red")))</f>
        <v>🟢 Green</v>
      </c>
      <c r="N5" s="48">
        <f>SUMIFS('VAM Team Sprint-CostperSprint'!I:I,'VAM Team Sprint-CostperSprint'!$A:$A,$A5)</f>
        <v>84</v>
      </c>
      <c r="O5" s="48">
        <f>SUMIFS('VAM Team Sprint-CostperSprint'!H:H,'VAM Team Sprint-CostperSprint'!$A:$A,$A5)</f>
        <v>4</v>
      </c>
      <c r="P5" s="6"/>
      <c r="Q5" s="45"/>
    </row>
    <row r="6" spans="1:17" ht="18" customHeight="1">
      <c r="A6" s="12" t="s">
        <v>198</v>
      </c>
      <c r="B6" s="12" t="s">
        <v>162</v>
      </c>
      <c r="C6" s="48">
        <f>SUMIFS('Team Sprints Input'!F:F,'Team Sprints Input'!$A:$A,$A6)</f>
        <v>588</v>
      </c>
      <c r="D6" s="48">
        <f>SUMIFS('Team Sprints Input'!G:G,'Team Sprints Input'!$A:$A,$A6)</f>
        <v>40</v>
      </c>
      <c r="E6" s="48">
        <f>SUMIFS('Team Sprints Input'!H:H,'Team Sprints Input'!$A:$A,$A6)</f>
        <v>64</v>
      </c>
      <c r="F6" s="48">
        <f>SUMIFS('Team Sprints Input'!I:I,'Team Sprints Input'!$A:$A,$A6)</f>
        <v>370</v>
      </c>
      <c r="G6" s="48">
        <f>SUMIFS('Team Sprints Input'!J:J,'Team Sprints Input'!$A:$A,$A6)</f>
        <v>41</v>
      </c>
      <c r="H6" s="48">
        <f>SUMIFS('Team Sprints Input'!K:K,'Team Sprints Input'!$A:$A,$A6)</f>
        <v>34</v>
      </c>
      <c r="I6" s="9">
        <f>C6+E6</f>
        <v>652</v>
      </c>
      <c r="J6" s="9">
        <f>F6+H6</f>
        <v>404</v>
      </c>
      <c r="K6" s="9">
        <f>SUMIFS('Team Sprints Input'!N:N, 'Team Sprints Input'!A:A, A6, 'Team Sprints Input'!E:E, B6)</f>
        <v>316</v>
      </c>
      <c r="L6" s="5">
        <f t="shared" ref="L6:L11" si="1">IFERROR(J6/K6,"")</f>
        <v>1.2784810126582278</v>
      </c>
      <c r="M6" s="6" t="str">
        <f t="shared" si="0"/>
        <v>🟢 Green</v>
      </c>
      <c r="N6" s="48">
        <f>SUMIFS('VAM Team Sprint-CostperSprint'!I:I,'VAM Team Sprint-CostperSprint'!$A:$A,$A6)</f>
        <v>178</v>
      </c>
      <c r="O6" s="48">
        <f>SUMIFS('VAM Team Sprint-CostperSprint'!H:H,'VAM Team Sprint-CostperSprint'!$A:$A,$A6)</f>
        <v>22</v>
      </c>
      <c r="P6" s="6"/>
    </row>
    <row r="7" spans="1:17" ht="18" customHeight="1">
      <c r="A7" s="12" t="s">
        <v>199</v>
      </c>
      <c r="B7" s="12" t="s">
        <v>162</v>
      </c>
      <c r="C7" s="48">
        <f>SUMIFS('Team Sprints Input'!F:F,'Team Sprints Input'!$A:$A,$A7)</f>
        <v>439</v>
      </c>
      <c r="D7" s="48">
        <f>SUMIFS('Team Sprints Input'!G:G,'Team Sprints Input'!$A:$A,$A7)</f>
        <v>31</v>
      </c>
      <c r="E7" s="48">
        <f>SUMIFS('Team Sprints Input'!H:H,'Team Sprints Input'!$A:$A,$A7)</f>
        <v>144</v>
      </c>
      <c r="F7" s="48">
        <f>SUMIFS('Team Sprints Input'!I:I,'Team Sprints Input'!$A:$A,$A7)</f>
        <v>140</v>
      </c>
      <c r="G7" s="48">
        <f>SUMIFS('Team Sprints Input'!J:J,'Team Sprints Input'!$A:$A,$A7)</f>
        <v>10</v>
      </c>
      <c r="H7" s="48">
        <f>SUMIFS('Team Sprints Input'!K:K,'Team Sprints Input'!$A:$A,$A7)</f>
        <v>75</v>
      </c>
      <c r="I7" s="9">
        <f t="shared" ref="I7:I8" si="2">C7+E7</f>
        <v>583</v>
      </c>
      <c r="J7" s="9">
        <f t="shared" ref="J7:J8" si="3">F7+H7</f>
        <v>215</v>
      </c>
      <c r="K7" s="9">
        <f>SUMIFS('Team Sprints Input'!N:N, 'Team Sprints Input'!A:A, A7, 'Team Sprints Input'!E:E, B7)</f>
        <v>316</v>
      </c>
      <c r="L7" s="5">
        <f t="shared" si="1"/>
        <v>0.680379746835443</v>
      </c>
      <c r="M7" s="6" t="str">
        <f t="shared" si="0"/>
        <v>🔴 Red</v>
      </c>
      <c r="N7" s="48">
        <f>SUMIFS('VAM Team Sprint-CostperSprint'!I:I,'VAM Team Sprint-CostperSprint'!$A:$A,$A7)</f>
        <v>147</v>
      </c>
      <c r="O7" s="48">
        <f>SUMIFS('VAM Team Sprint-CostperSprint'!H:H,'VAM Team Sprint-CostperSprint'!$A:$A,$A7)</f>
        <v>66</v>
      </c>
      <c r="P7" s="6"/>
    </row>
    <row r="8" spans="1:17" ht="18" customHeight="1">
      <c r="A8" s="12" t="s">
        <v>200</v>
      </c>
      <c r="B8" s="12" t="s">
        <v>163</v>
      </c>
      <c r="C8" s="48">
        <f>SUMIFS('Team Sprints Input'!F:F,'Team Sprints Input'!$A:$A,$A8)</f>
        <v>605</v>
      </c>
      <c r="D8" s="48">
        <f>SUMIFS('Team Sprints Input'!G:G,'Team Sprints Input'!$A:$A,$A8)</f>
        <v>17</v>
      </c>
      <c r="E8" s="48">
        <f>SUMIFS('Team Sprints Input'!H:H,'Team Sprints Input'!$A:$A,$A8)</f>
        <v>158</v>
      </c>
      <c r="F8" s="48">
        <f>SUMIFS('Team Sprints Input'!I:I,'Team Sprints Input'!$A:$A,$A8)</f>
        <v>312</v>
      </c>
      <c r="G8" s="48">
        <f>SUMIFS('Team Sprints Input'!J:J,'Team Sprints Input'!$A:$A,$A8)</f>
        <v>43</v>
      </c>
      <c r="H8" s="48">
        <f>SUMIFS('Team Sprints Input'!K:K,'Team Sprints Input'!$A:$A,$A8)</f>
        <v>127</v>
      </c>
      <c r="I8" s="9">
        <f t="shared" si="2"/>
        <v>763</v>
      </c>
      <c r="J8" s="9">
        <f t="shared" si="3"/>
        <v>439</v>
      </c>
      <c r="K8" s="9">
        <f>SUMIFS('Team Sprints Input'!N:N, 'Team Sprints Input'!A:A, A8, 'Team Sprints Input'!E:E, B8)</f>
        <v>316</v>
      </c>
      <c r="L8" s="5">
        <f t="shared" si="1"/>
        <v>1.389240506329114</v>
      </c>
      <c r="M8" s="6" t="str">
        <f t="shared" si="0"/>
        <v>🟢 Green</v>
      </c>
      <c r="N8" s="48">
        <f>SUMIFS('VAM Team Sprint-CostperSprint'!I:I,'VAM Team Sprint-CostperSprint'!$A:$A,$A8)</f>
        <v>323</v>
      </c>
      <c r="O8" s="48">
        <f>SUMIFS('VAM Team Sprint-CostperSprint'!H:H,'VAM Team Sprint-CostperSprint'!$A:$A,$A8)</f>
        <v>108</v>
      </c>
      <c r="P8" s="6"/>
    </row>
    <row r="9" spans="1:17" ht="18" customHeight="1">
      <c r="A9" s="12" t="s">
        <v>201</v>
      </c>
      <c r="B9" s="12" t="s">
        <v>163</v>
      </c>
      <c r="C9" s="48">
        <f>SUMIFS('Team Sprints Input'!F:F,'Team Sprints Input'!$A:$A,$A9)</f>
        <v>628</v>
      </c>
      <c r="D9" s="48">
        <f>SUMIFS('Team Sprints Input'!G:G,'Team Sprints Input'!$A:$A,$A9)</f>
        <v>13</v>
      </c>
      <c r="E9" s="48">
        <f>SUMIFS('Team Sprints Input'!H:H,'Team Sprints Input'!$A:$A,$A9)</f>
        <v>92</v>
      </c>
      <c r="F9" s="48">
        <f>SUMIFS('Team Sprints Input'!I:I,'Team Sprints Input'!$A:$A,$A9)</f>
        <v>291</v>
      </c>
      <c r="G9" s="48">
        <f>SUMIFS('Team Sprints Input'!J:J,'Team Sprints Input'!$A:$A,$A9)</f>
        <v>34</v>
      </c>
      <c r="H9" s="48">
        <f>SUMIFS('Team Sprints Input'!K:K,'Team Sprints Input'!$A:$A,$A9)</f>
        <v>60</v>
      </c>
      <c r="I9" s="9">
        <f t="shared" ref="I9:I10" si="4">C9+D9+E9</f>
        <v>733</v>
      </c>
      <c r="J9" s="9">
        <f>F9+H9</f>
        <v>351</v>
      </c>
      <c r="K9" s="9">
        <f>SUMIFS('Team Sprints Input'!N:N, 'Team Sprints Input'!A:A, A9, 'Team Sprints Input'!E:E, B9)</f>
        <v>316</v>
      </c>
      <c r="L9" s="5">
        <f t="shared" si="1"/>
        <v>1.110759493670886</v>
      </c>
      <c r="M9" s="6" t="str">
        <f t="shared" si="0"/>
        <v>🟢 Green</v>
      </c>
      <c r="N9" s="48">
        <f>SUMIFS('VAM Team Sprint-CostperSprint'!I:I,'VAM Team Sprint-CostperSprint'!$A:$A,$A9)</f>
        <v>164</v>
      </c>
      <c r="O9" s="48">
        <f>SUMIFS('VAM Team Sprint-CostperSprint'!H:H,'VAM Team Sprint-CostperSprint'!$A:$A,$A9)</f>
        <v>37</v>
      </c>
      <c r="P9" s="6"/>
    </row>
    <row r="10" spans="1:17" ht="18" customHeight="1">
      <c r="A10" s="12" t="s">
        <v>202</v>
      </c>
      <c r="B10" s="12" t="s">
        <v>163</v>
      </c>
      <c r="C10" s="48">
        <f>SUMIFS('Team Sprints Input'!F:F,'Team Sprints Input'!$A:$A,$A10)</f>
        <v>520</v>
      </c>
      <c r="D10" s="48">
        <f>SUMIFS('Team Sprints Input'!G:G,'Team Sprints Input'!$A:$A,$A10)</f>
        <v>26</v>
      </c>
      <c r="E10" s="48">
        <f>SUMIFS('Team Sprints Input'!H:H,'Team Sprints Input'!$A:$A,$A10)</f>
        <v>64</v>
      </c>
      <c r="F10" s="48">
        <f>SUMIFS('Team Sprints Input'!I:I,'Team Sprints Input'!$A:$A,$A10)</f>
        <v>172</v>
      </c>
      <c r="G10" s="48">
        <f>SUMIFS('Team Sprints Input'!J:J,'Team Sprints Input'!$A:$A,$A10)</f>
        <v>23</v>
      </c>
      <c r="H10" s="48">
        <f>SUMIFS('Team Sprints Input'!K:K,'Team Sprints Input'!$A:$A,$A10)</f>
        <v>39</v>
      </c>
      <c r="I10" s="9">
        <f t="shared" si="4"/>
        <v>610</v>
      </c>
      <c r="J10" s="9">
        <f>F10+H10</f>
        <v>211</v>
      </c>
      <c r="K10" s="9">
        <f>SUMIFS('Team Sprints Input'!N:N, 'Team Sprints Input'!A:A, A10, 'Team Sprints Input'!E:E, B10)</f>
        <v>316</v>
      </c>
      <c r="L10" s="5">
        <f t="shared" si="1"/>
        <v>0.66772151898734178</v>
      </c>
      <c r="M10" s="6" t="str">
        <f t="shared" si="0"/>
        <v>🔴 Red</v>
      </c>
      <c r="N10" s="48">
        <f>SUMIFS('VAM Team Sprint-CostperSprint'!I:I,'VAM Team Sprint-CostperSprint'!$A:$A,$A10)</f>
        <v>113</v>
      </c>
      <c r="O10" s="48">
        <f>SUMIFS('VAM Team Sprint-CostperSprint'!H:H,'VAM Team Sprint-CostperSprint'!$A:$A,$A10)</f>
        <v>20</v>
      </c>
      <c r="P10" s="6"/>
    </row>
    <row r="11" spans="1:17" ht="18" customHeight="1">
      <c r="A11" s="12" t="s">
        <v>203</v>
      </c>
      <c r="B11" s="12" t="s">
        <v>164</v>
      </c>
      <c r="C11" s="48">
        <f>SUMIFS('Team Sprints Input'!F:F,'Team Sprints Input'!$A:$A,$A11)</f>
        <v>634</v>
      </c>
      <c r="D11" s="48">
        <f>SUMIFS('Team Sprints Input'!G:G,'Team Sprints Input'!$A:$A,$A11)</f>
        <v>12</v>
      </c>
      <c r="E11" s="48">
        <f>SUMIFS('Team Sprints Input'!H:H,'Team Sprints Input'!$A:$A,$A11)</f>
        <v>59</v>
      </c>
      <c r="F11" s="48">
        <f>SUMIFS('Team Sprints Input'!I:I,'Team Sprints Input'!$A:$A,$A11)</f>
        <v>270</v>
      </c>
      <c r="G11" s="48">
        <f>SUMIFS('Team Sprints Input'!J:J,'Team Sprints Input'!$A:$A,$A11)</f>
        <v>57</v>
      </c>
      <c r="H11" s="48">
        <f>SUMIFS('Team Sprints Input'!K:K,'Team Sprints Input'!$A:$A,$A11)</f>
        <v>37</v>
      </c>
      <c r="I11" s="9">
        <f t="shared" ref="I11" si="5">C11+D11+E11</f>
        <v>705</v>
      </c>
      <c r="J11" s="9">
        <f>F11+H11</f>
        <v>307</v>
      </c>
      <c r="K11" s="9">
        <f>SUMIFS('Team Sprints Input'!N:N, 'Team Sprints Input'!A:A, A11, 'Team Sprints Input'!E:E, B11)</f>
        <v>316</v>
      </c>
      <c r="L11" s="5">
        <f t="shared" si="1"/>
        <v>0.97151898734177211</v>
      </c>
      <c r="M11" s="6" t="str">
        <f t="shared" si="0"/>
        <v>🟢 Green</v>
      </c>
      <c r="N11" s="48">
        <f>SUMIFS('VAM Team Sprint-CostperSprint'!I:I,'VAM Team Sprint-CostperSprint'!$A:$A,$A11)</f>
        <v>220</v>
      </c>
      <c r="O11" s="48">
        <f>SUMIFS('VAM Team Sprint-CostperSprint'!H:H,'VAM Team Sprint-CostperSprint'!$A:$A,$A11)</f>
        <v>22</v>
      </c>
      <c r="P11" s="6"/>
    </row>
    <row r="12" spans="1:17" ht="18" customHeight="1">
      <c r="A12" s="12" t="s">
        <v>204</v>
      </c>
      <c r="B12" s="12" t="s">
        <v>164</v>
      </c>
      <c r="C12" s="48">
        <f>SUMIFS('Team Sprints Input'!F:F,'Team Sprints Input'!$A:$A,$A12)</f>
        <v>648</v>
      </c>
      <c r="D12" s="48">
        <f>SUMIFS('Team Sprints Input'!G:G,'Team Sprints Input'!$A:$A,$A12)</f>
        <v>13</v>
      </c>
      <c r="E12" s="48">
        <f>SUMIFS('Team Sprints Input'!H:H,'Team Sprints Input'!$A:$A,$A12)</f>
        <v>145</v>
      </c>
      <c r="F12" s="48">
        <f>SUMIFS('Team Sprints Input'!I:I,'Team Sprints Input'!$A:$A,$A12)</f>
        <v>136</v>
      </c>
      <c r="G12" s="48">
        <f>SUMIFS('Team Sprints Input'!J:J,'Team Sprints Input'!$A:$A,$A12)</f>
        <v>11</v>
      </c>
      <c r="H12" s="48">
        <f>SUMIFS('Team Sprints Input'!K:K,'Team Sprints Input'!$A:$A,$A12)</f>
        <v>102</v>
      </c>
      <c r="I12" s="9">
        <f t="shared" ref="I12" si="6">C12+D12+E12</f>
        <v>806</v>
      </c>
      <c r="J12" s="9">
        <f>F12+H12</f>
        <v>238</v>
      </c>
      <c r="K12" s="9">
        <f>SUMIFS('Team Sprints Input'!N:N, 'Team Sprints Input'!A:A, A12, 'Team Sprints Input'!E:E, B12)</f>
        <v>316</v>
      </c>
      <c r="L12" s="127">
        <f t="shared" ref="L12" si="7">IFERROR(J12/K12,"")</f>
        <v>0.75316455696202533</v>
      </c>
      <c r="M12" s="6" t="str">
        <f t="shared" ref="M12" si="8">IF(L12="","",IF(L12&gt;=0.85,"🟢 Green",IF(L12&gt;=0.75,"🟡 Yellow","🔴 Red")))</f>
        <v>🟡 Yellow</v>
      </c>
      <c r="N12" s="48">
        <f>SUMIFS('VAM Team Sprint-CostperSprint'!I:I,'VAM Team Sprint-CostperSprint'!$A:$A,$A12)</f>
        <v>141</v>
      </c>
      <c r="O12" s="48">
        <f>SUMIFS('VAM Team Sprint-CostperSprint'!H:H,'VAM Team Sprint-CostperSprint'!$A:$A,$A12)</f>
        <v>57</v>
      </c>
      <c r="P12" s="6"/>
    </row>
    <row r="13" spans="1:17" ht="18" customHeight="1">
      <c r="A13" s="201" t="s">
        <v>207</v>
      </c>
      <c r="B13" s="201" t="s">
        <v>35</v>
      </c>
      <c r="C13" s="48">
        <f>SUMIFS('Team Sprints Input'!F:F,'Team Sprints Input'!$A:$A,$A13)</f>
        <v>586</v>
      </c>
      <c r="D13" s="48">
        <f>SUMIFS('Team Sprints Input'!G:G,'Team Sprints Input'!$A:$A,$A13)</f>
        <v>5</v>
      </c>
      <c r="E13" s="48">
        <f>SUMIFS('Team Sprints Input'!H:H,'Team Sprints Input'!$A:$A,$A13)</f>
        <v>108</v>
      </c>
      <c r="F13" s="48">
        <f>SUMIFS('Team Sprints Input'!I:I,'Team Sprints Input'!$A:$A,$A13)</f>
        <v>207</v>
      </c>
      <c r="G13" s="48">
        <f>SUMIFS('Team Sprints Input'!J:J,'Team Sprints Input'!$A:$A,$A13)</f>
        <v>32</v>
      </c>
      <c r="H13" s="48">
        <f>SUMIFS('Team Sprints Input'!K:K,'Team Sprints Input'!$A:$A,$A13)</f>
        <v>61</v>
      </c>
      <c r="I13" s="9">
        <f t="shared" ref="I13:I16" si="9">C13+D13+E13</f>
        <v>699</v>
      </c>
      <c r="J13" s="9">
        <f t="shared" ref="J13:J16" si="10">F13+G13+H13</f>
        <v>300</v>
      </c>
      <c r="K13" s="9">
        <f>SUMIFS('Team Sprints Input'!N:N, 'Team Sprints Input'!A:A, A13, 'Team Sprints Input'!E:E, B13)</f>
        <v>140</v>
      </c>
      <c r="L13" s="5">
        <f>IFERROR(J13/I13,"")</f>
        <v>0.42918454935622319</v>
      </c>
      <c r="M13" s="6" t="str">
        <f t="shared" si="0"/>
        <v>🔴 Red</v>
      </c>
      <c r="N13" s="48">
        <f>SUMIFS('VAM Team Sprint-CostperSprint'!I:I,'VAM Team Sprint-CostperSprint'!$A:$A,$A13)</f>
        <v>169</v>
      </c>
      <c r="O13" s="48">
        <f>SUMIFS('VAM Team Sprint-CostperSprint'!H:H,'VAM Team Sprint-CostperSprint'!$A:$A,$A13)</f>
        <v>41</v>
      </c>
      <c r="P13" s="6"/>
    </row>
    <row r="14" spans="1:17" ht="18" customHeight="1">
      <c r="A14" s="201" t="s">
        <v>209</v>
      </c>
      <c r="B14" s="12" t="s">
        <v>35</v>
      </c>
      <c r="C14" s="48">
        <f>SUMIFS('Team Sprints Input'!F:F,'Team Sprints Input'!$A:$A,$A14)</f>
        <v>485</v>
      </c>
      <c r="D14" s="48">
        <f>SUMIFS('Team Sprints Input'!G:G,'Team Sprints Input'!$A:$A,$A14)</f>
        <v>11</v>
      </c>
      <c r="E14" s="48">
        <f>SUMIFS('Team Sprints Input'!H:H,'Team Sprints Input'!$A:$A,$A14)</f>
        <v>128</v>
      </c>
      <c r="F14" s="48">
        <f>SUMIFS('Team Sprints Input'!I:I,'Team Sprints Input'!$A:$A,$A14)</f>
        <v>147</v>
      </c>
      <c r="G14" s="48">
        <f>SUMIFS('Team Sprints Input'!J:J,'Team Sprints Input'!$A:$A,$A14)</f>
        <v>20</v>
      </c>
      <c r="H14" s="48">
        <f>SUMIFS('Team Sprints Input'!K:K,'Team Sprints Input'!$A:$A,$A14)</f>
        <v>90</v>
      </c>
      <c r="I14" s="9">
        <f t="shared" si="9"/>
        <v>624</v>
      </c>
      <c r="J14" s="9">
        <f t="shared" si="10"/>
        <v>257</v>
      </c>
      <c r="K14" s="9">
        <f>SUMIFS('Team Sprints Input'!N:N, 'Team Sprints Input'!A:A, A14, 'Team Sprints Input'!E:E, B14)</f>
        <v>140</v>
      </c>
      <c r="L14" s="5">
        <f t="shared" ref="L13:L16" si="11">IFERROR(J14/I14,"")</f>
        <v>0.41185897435897434</v>
      </c>
      <c r="M14" s="6" t="str">
        <f t="shared" si="0"/>
        <v>🔴 Red</v>
      </c>
      <c r="N14" s="48">
        <f>SUMIFS('VAM Team Sprint-CostperSprint'!I:I,'VAM Team Sprint-CostperSprint'!$A:$A,$A14)</f>
        <v>162</v>
      </c>
      <c r="O14" s="48">
        <f>SUMIFS('VAM Team Sprint-CostperSprint'!H:H,'VAM Team Sprint-CostperSprint'!$A:$A,$A14)</f>
        <v>48</v>
      </c>
      <c r="P14" s="6"/>
    </row>
    <row r="15" spans="1:17" ht="18" customHeight="1">
      <c r="A15" s="201" t="s">
        <v>211</v>
      </c>
      <c r="B15" s="12" t="s">
        <v>165</v>
      </c>
      <c r="C15" s="48">
        <f>SUMIFS('Team Sprints Input'!F:F,'Team Sprints Input'!$A:$A,$A15)</f>
        <v>397</v>
      </c>
      <c r="D15" s="48">
        <f>SUMIFS('Team Sprints Input'!G:G,'Team Sprints Input'!$A:$A,$A15)</f>
        <v>9</v>
      </c>
      <c r="E15" s="48">
        <f>SUMIFS('Team Sprints Input'!H:H,'Team Sprints Input'!$A:$A,$A15)</f>
        <v>133</v>
      </c>
      <c r="F15" s="48">
        <f>SUMIFS('Team Sprints Input'!I:I,'Team Sprints Input'!$A:$A,$A15)</f>
        <v>185</v>
      </c>
      <c r="G15" s="48">
        <f>SUMIFS('Team Sprints Input'!J:J,'Team Sprints Input'!$A:$A,$A15)</f>
        <v>28</v>
      </c>
      <c r="H15" s="48">
        <f>SUMIFS('Team Sprints Input'!K:K,'Team Sprints Input'!$A:$A,$A15)</f>
        <v>104</v>
      </c>
      <c r="I15" s="9">
        <f t="shared" si="9"/>
        <v>539</v>
      </c>
      <c r="J15" s="9">
        <f t="shared" si="10"/>
        <v>317</v>
      </c>
      <c r="K15" s="9">
        <f>SUMIFS('Team Sprints Input'!N:N, 'Team Sprints Input'!A:A, A15, 'Team Sprints Input'!E:E, B15)</f>
        <v>140</v>
      </c>
      <c r="L15" s="5">
        <f t="shared" si="11"/>
        <v>0.58812615955473102</v>
      </c>
      <c r="M15" s="6" t="str">
        <f t="shared" si="0"/>
        <v>🔴 Red</v>
      </c>
      <c r="N15" s="48">
        <f>SUMIFS('VAM Team Sprint-CostperSprint'!I:I,'VAM Team Sprint-CostperSprint'!$A:$A,$A15)</f>
        <v>215</v>
      </c>
      <c r="O15" s="48">
        <f>SUMIFS('VAM Team Sprint-CostperSprint'!H:H,'VAM Team Sprint-CostperSprint'!$A:$A,$A15)</f>
        <v>83</v>
      </c>
      <c r="P15" s="6"/>
    </row>
    <row r="16" spans="1:17" ht="18" customHeight="1">
      <c r="A16" s="201" t="s">
        <v>213</v>
      </c>
      <c r="B16" s="12" t="s">
        <v>165</v>
      </c>
      <c r="C16" s="48">
        <f>SUMIFS('Team Sprints Input'!F:F,'Team Sprints Input'!$A:$A,$A16)</f>
        <v>401</v>
      </c>
      <c r="D16" s="48">
        <f>SUMIFS('Team Sprints Input'!G:G,'Team Sprints Input'!$A:$A,$A16)</f>
        <v>1</v>
      </c>
      <c r="E16" s="48">
        <f>SUMIFS('Team Sprints Input'!H:H,'Team Sprints Input'!$A:$A,$A16)</f>
        <v>144</v>
      </c>
      <c r="F16" s="48">
        <f>SUMIFS('Team Sprints Input'!I:I,'Team Sprints Input'!$A:$A,$A16)</f>
        <v>122</v>
      </c>
      <c r="G16" s="48">
        <f>SUMIFS('Team Sprints Input'!J:J,'Team Sprints Input'!$A:$A,$A16)</f>
        <v>7</v>
      </c>
      <c r="H16" s="48">
        <f>SUMIFS('Team Sprints Input'!K:K,'Team Sprints Input'!$A:$A,$A16)</f>
        <v>73</v>
      </c>
      <c r="I16" s="9">
        <f t="shared" si="9"/>
        <v>546</v>
      </c>
      <c r="J16" s="9">
        <f t="shared" si="10"/>
        <v>202</v>
      </c>
      <c r="K16" s="9">
        <f>SUMIFS('Team Sprints Input'!N:N, 'Team Sprints Input'!A:A, A16, 'Team Sprints Input'!E:E, B16)</f>
        <v>140</v>
      </c>
      <c r="L16" s="5">
        <f t="shared" si="11"/>
        <v>0.36996336996336998</v>
      </c>
      <c r="M16" s="6" t="str">
        <f t="shared" si="0"/>
        <v>🔴 Red</v>
      </c>
      <c r="N16" s="48">
        <f>SUMIFS('VAM Team Sprint-CostperSprint'!I:I,'VAM Team Sprint-CostperSprint'!$A:$A,$A16)</f>
        <v>135</v>
      </c>
      <c r="O16" s="48">
        <f>SUMIFS('VAM Team Sprint-CostperSprint'!H:H,'VAM Team Sprint-CostperSprint'!$A:$A,$A16)</f>
        <v>50</v>
      </c>
      <c r="P16" s="6"/>
    </row>
    <row r="17" spans="1:16" ht="18" customHeight="1">
      <c r="A17" s="12" t="s">
        <v>268</v>
      </c>
      <c r="B17" s="12" t="s">
        <v>269</v>
      </c>
      <c r="C17" s="49"/>
      <c r="D17" s="44"/>
      <c r="E17" s="44"/>
      <c r="F17" s="44"/>
      <c r="G17" s="44"/>
      <c r="H17" s="44"/>
      <c r="I17" s="8"/>
      <c r="J17" s="9" t="str">
        <f t="shared" ref="J17" si="12">IF(D17+E17+F17=0,"",D17+E17+F17)</f>
        <v/>
      </c>
      <c r="K17" s="9"/>
      <c r="L17" s="9" t="str">
        <f t="shared" ref="L17" si="13">IF(G17+H17+I17=0,"",G17+H17+I17)</f>
        <v/>
      </c>
      <c r="M17" s="5" t="str">
        <f t="shared" ref="M17" si="14">IFERROR(L17/J17,"")</f>
        <v/>
      </c>
      <c r="N17" s="5"/>
      <c r="O17" s="5"/>
      <c r="P17" s="6" t="str">
        <f t="shared" ref="P16:P17" si="15">IF(M17="","",IF(M17&gt;=0.85,"🟢 Green",IF(M17&gt;=0.75,"🟡 Yellow","🔴 Red")))</f>
        <v/>
      </c>
    </row>
    <row r="19" spans="1:16" ht="25.5" customHeight="1">
      <c r="A19" s="259" t="s">
        <v>270</v>
      </c>
      <c r="B19" s="259"/>
      <c r="C19" s="259"/>
      <c r="D19" s="259"/>
      <c r="E19" s="259"/>
      <c r="G19" s="259" t="s">
        <v>270</v>
      </c>
      <c r="H19" s="259"/>
      <c r="I19" s="259"/>
      <c r="J19" s="259"/>
      <c r="K19" s="259"/>
    </row>
    <row r="20" spans="1:16" ht="26.1">
      <c r="A20" s="1" t="s">
        <v>155</v>
      </c>
      <c r="B20" s="1" t="s">
        <v>271</v>
      </c>
      <c r="C20" s="1" t="s">
        <v>272</v>
      </c>
      <c r="D20" s="1" t="s">
        <v>273</v>
      </c>
      <c r="E20" s="1" t="s">
        <v>160</v>
      </c>
      <c r="G20" s="1" t="s">
        <v>155</v>
      </c>
      <c r="H20" s="1" t="s">
        <v>271</v>
      </c>
      <c r="I20" s="1" t="s">
        <v>272</v>
      </c>
      <c r="J20" s="1" t="s">
        <v>273</v>
      </c>
      <c r="K20" s="1" t="s">
        <v>160</v>
      </c>
    </row>
    <row r="21" spans="1:16" ht="18" customHeight="1">
      <c r="A21" s="13" t="s">
        <v>161</v>
      </c>
      <c r="B21" s="9">
        <f>COUNTIF(B5:B17,A21)</f>
        <v>1</v>
      </c>
      <c r="C21" s="5">
        <f>IFERROR(AVERAGEIF($B$5:$B$17,A21,$L$5:$L$17),"")</f>
        <v>1</v>
      </c>
      <c r="D21" s="6" t="str">
        <f>IF(C21="","",IF(C21&gt;=0.85,"🟢 Green",IF(C21&gt;=0.75,"🟡 Yellow","🔴 Red")))</f>
        <v>🟢 Green</v>
      </c>
      <c r="E21" s="6" t="str">
        <f>IF(COUNTA(C21:C21)&lt;3,"(need 3mo)",IF(AVERAGE(C21:C21)&gt;=0.85,"↑ Improving",IF(AVERAGE(C21:C21)&gt;=0.75,"→ Stable","↓ Declining")))</f>
        <v>(need 3mo)</v>
      </c>
      <c r="G21" s="13" t="s">
        <v>165</v>
      </c>
      <c r="H21" s="9">
        <f>COUNTIF(B5:B20,G21)</f>
        <v>2</v>
      </c>
      <c r="I21" s="5">
        <f>IFERROR(AVERAGEIF($B$5:$B$17,G21,$L$5:$L$17),"")</f>
        <v>0.4790447647590505</v>
      </c>
      <c r="J21" s="6" t="str">
        <f>IF(I21="","",IF(I21&gt;=0.85,"🟢 Green",IF(I21&gt;=0.75,"🟡 Yellow","🔴 Red")))</f>
        <v>🔴 Red</v>
      </c>
      <c r="K21" s="6" t="str">
        <f>IF(COUNTA(C24:C25,I21)&lt;3,"(need 3mo)",IF(AVERAGE(C24:C25,I21)&gt;=0.85,"↑ Improving",IF(AVERAGE(C24:C25,I21)&gt;=0.75,"→ Stable","↓ Declining")))</f>
        <v>↓ Declining</v>
      </c>
    </row>
    <row r="22" spans="1:16" ht="18" customHeight="1">
      <c r="A22" s="13" t="s">
        <v>162</v>
      </c>
      <c r="B22" s="9">
        <f>COUNTIF(B6:B18,A22)</f>
        <v>2</v>
      </c>
      <c r="C22" s="5">
        <f>IFERROR(AVERAGEIF($B$5:$B$17,A22,$L$5:$L$17),"")</f>
        <v>0.97943037974683533</v>
      </c>
      <c r="D22" s="6" t="str">
        <f>IF(C22="","",IF(C22&gt;=0.85,"🟢 Green",IF(C22&gt;=0.75,"🟡 Yellow","🔴 Red")))</f>
        <v>🟢 Green</v>
      </c>
      <c r="E22" s="6" t="str">
        <f>IF(COUNTA(C21:C22)&lt;3,"(need 3mo)",IF(AVERAGE(C21:C22)&gt;=0.85,"↑ Improving",IF(AVERAGE(C21:C22)&gt;=0.75,"→ Stable","↓ Declining")))</f>
        <v>(need 3mo)</v>
      </c>
    </row>
    <row r="23" spans="1:16" ht="18" customHeight="1">
      <c r="A23" s="13" t="s">
        <v>163</v>
      </c>
      <c r="B23" s="9">
        <f>COUNTIF(B7:B19,A23)</f>
        <v>3</v>
      </c>
      <c r="C23" s="5">
        <f>IFERROR(AVERAGEIF($B$5:$B$17,A23,$L$5:$L$17),"")</f>
        <v>1.0559071729957805</v>
      </c>
      <c r="D23" s="6" t="str">
        <f>IF(C23="","",IF(C23&gt;=0.85,"🟢 Green",IF(C23&gt;=0.75,"🟡 Yellow","🔴 Red")))</f>
        <v>🟢 Green</v>
      </c>
      <c r="E23" s="6" t="str">
        <f>IF(COUNTA(C21:C23)&lt;3,"(need 3mo)",IF(AVERAGE(C21:C23)&gt;=0.85,"↑ Improving",IF(AVERAGE(C21:C23)&gt;=0.75,"→ Stable","↓ Declining")))</f>
        <v>↑ Improving</v>
      </c>
    </row>
    <row r="24" spans="1:16" ht="18" customHeight="1">
      <c r="A24" s="13" t="s">
        <v>164</v>
      </c>
      <c r="B24" s="9">
        <f>COUNTIF(B8:B20,A24)</f>
        <v>2</v>
      </c>
      <c r="C24" s="5">
        <f>IFERROR(AVERAGEIF($B$5:$B$17,A24,$L$5:$L$17),"")</f>
        <v>0.86234177215189867</v>
      </c>
      <c r="D24" s="6" t="str">
        <f>IF(C24="","",IF(C24&gt;=0.85,"🟢 Green",IF(C24&gt;=0.75,"🟡 Yellow","🔴 Red")))</f>
        <v>🟢 Green</v>
      </c>
      <c r="E24" s="6" t="str">
        <f>IF(COUNTA(C22:C24)&lt;3,"(need 3mo)",IF(AVERAGE(C22:C24)&gt;=0.85,"↑ Improving",IF(AVERAGE(C22:C24)&gt;=0.75,"→ Stable","↓ Declining")))</f>
        <v>↑ Improving</v>
      </c>
    </row>
    <row r="25" spans="1:16">
      <c r="A25" s="13" t="s">
        <v>35</v>
      </c>
      <c r="B25" s="9">
        <f>COUNTIF(B9:B21,A25)</f>
        <v>2</v>
      </c>
      <c r="C25" s="5">
        <f>IFERROR(AVERAGEIF($B$5:$B$17,A25,$L$5:$L$17),"")</f>
        <v>0.42052176185759876</v>
      </c>
      <c r="D25" s="6" t="str">
        <f>IF(C25="","",IF(C25&gt;=0.85,"🟢 Green",IF(C25&gt;=0.75,"🟡 Yellow","🔴 Red")))</f>
        <v>🔴 Red</v>
      </c>
      <c r="E25" s="6" t="str">
        <f>IF(COUNTA(C23:C25)&lt;3,"(need 3mo)",IF(AVERAGE(C23:C25)&gt;=0.85,"↑ Improving",IF(AVERAGE(C23:C25)&gt;=0.75,"→ Stable","↓ Declining")))</f>
        <v>→ Stable</v>
      </c>
    </row>
    <row r="26" spans="1:16" ht="24" customHeight="1">
      <c r="A26" s="266" t="s">
        <v>274</v>
      </c>
      <c r="B26" s="266"/>
      <c r="C26" s="266"/>
      <c r="D26" s="266"/>
      <c r="E26" s="266"/>
      <c r="F26" s="266"/>
      <c r="G26" s="266"/>
    </row>
    <row r="27" spans="1:16" ht="20.45" customHeight="1">
      <c r="A27" s="271" t="s">
        <v>275</v>
      </c>
      <c r="B27" s="271"/>
      <c r="C27" s="271"/>
      <c r="D27" s="271"/>
      <c r="E27" s="271"/>
      <c r="F27" s="271"/>
      <c r="G27" s="271"/>
      <c r="H27" s="42"/>
      <c r="I27" s="42"/>
      <c r="J27" s="42"/>
      <c r="K27" s="42"/>
    </row>
    <row r="28" spans="1:16" ht="27.75" customHeight="1">
      <c r="A28" s="1" t="s">
        <v>193</v>
      </c>
      <c r="B28" s="1" t="s">
        <v>155</v>
      </c>
      <c r="C28" s="1" t="s">
        <v>276</v>
      </c>
      <c r="D28" s="1" t="s">
        <v>277</v>
      </c>
      <c r="E28" s="1" t="s">
        <v>278</v>
      </c>
      <c r="F28" s="1" t="s">
        <v>279</v>
      </c>
      <c r="G28" s="1" t="s">
        <v>280</v>
      </c>
    </row>
    <row r="29" spans="1:16" ht="27.75" customHeight="1">
      <c r="A29" s="1"/>
      <c r="B29" s="1"/>
      <c r="C29" s="1"/>
      <c r="D29" s="1"/>
      <c r="E29" s="1"/>
      <c r="F29" s="1"/>
      <c r="G29" s="1"/>
    </row>
    <row r="30" spans="1:16" ht="18" customHeight="1">
      <c r="A30" s="18" t="s">
        <v>197</v>
      </c>
      <c r="B30" s="12" t="s">
        <v>161</v>
      </c>
      <c r="C30" s="69">
        <f>ROUND(AVERAGEIF('Team Median Input'!A:A, A30, 'Team Median Input'!J:J),1)</f>
        <v>5.3</v>
      </c>
      <c r="D30" s="15">
        <v>5.4</v>
      </c>
      <c r="E30" s="16">
        <f t="shared" ref="E30:E43" si="16">IFERROR(IF(C30="","",C30-D30),"")</f>
        <v>-0.10000000000000053</v>
      </c>
      <c r="F30" s="5">
        <f t="shared" ref="F30:F43" si="17">IFERROR(IF(C30="","",C30/D30-1),"")</f>
        <v>-1.8518518518518601E-2</v>
      </c>
      <c r="G30" s="6" t="str">
        <f t="shared" ref="G30:G43" si="18">IF(F30="","",IF(F30&lt;=0,"🟢 Green",IF(F30&lt;=0.1,"🟡 Yellow","🔴 Red")))</f>
        <v>🟢 Green</v>
      </c>
    </row>
    <row r="31" spans="1:16" ht="18" customHeight="1">
      <c r="A31" s="18" t="s">
        <v>198</v>
      </c>
      <c r="B31" s="12" t="s">
        <v>162</v>
      </c>
      <c r="C31" s="69">
        <f>AVERAGEIF('Team Median Input'!A:A, A31, 'Team Median Input'!J:J)</f>
        <v>5.335</v>
      </c>
      <c r="D31" s="15">
        <v>5.4</v>
      </c>
      <c r="E31" s="16">
        <f t="shared" si="16"/>
        <v>-6.5000000000000391E-2</v>
      </c>
      <c r="F31" s="5">
        <f t="shared" si="17"/>
        <v>-1.2037037037037068E-2</v>
      </c>
      <c r="G31" s="6" t="str">
        <f t="shared" si="18"/>
        <v>🟢 Green</v>
      </c>
    </row>
    <row r="32" spans="1:16" ht="18" customHeight="1">
      <c r="A32" s="18" t="s">
        <v>199</v>
      </c>
      <c r="B32" s="12" t="s">
        <v>162</v>
      </c>
      <c r="C32" s="69">
        <f>AVERAGEIF('Team Median Input'!A:A, A32, 'Team Median Input'!J:J)</f>
        <v>3.7225000000000001</v>
      </c>
      <c r="D32" s="15">
        <v>5.4</v>
      </c>
      <c r="E32" s="16">
        <f t="shared" si="16"/>
        <v>-1.6775000000000002</v>
      </c>
      <c r="F32" s="5">
        <f t="shared" si="17"/>
        <v>-0.31064814814814812</v>
      </c>
      <c r="G32" s="6" t="str">
        <f t="shared" si="18"/>
        <v>🟢 Green</v>
      </c>
    </row>
    <row r="33" spans="1:7" ht="18" customHeight="1">
      <c r="A33" s="18" t="s">
        <v>200</v>
      </c>
      <c r="B33" s="12" t="s">
        <v>163</v>
      </c>
      <c r="C33" s="69">
        <f>AVERAGEIF('Team Median Input'!A:A, A33, 'Team Median Input'!J:J)</f>
        <v>4.3324999999999996</v>
      </c>
      <c r="D33" s="15">
        <v>5.4</v>
      </c>
      <c r="E33" s="16">
        <f t="shared" si="16"/>
        <v>-1.0675000000000008</v>
      </c>
      <c r="F33" s="5">
        <f t="shared" si="17"/>
        <v>-0.1976851851851853</v>
      </c>
      <c r="G33" s="6" t="str">
        <f t="shared" si="18"/>
        <v>🟢 Green</v>
      </c>
    </row>
    <row r="34" spans="1:7" ht="18" customHeight="1">
      <c r="A34" s="18" t="s">
        <v>201</v>
      </c>
      <c r="B34" s="12" t="s">
        <v>163</v>
      </c>
      <c r="C34" s="69">
        <f>AVERAGEIF('Team Median Input'!A:A, A34, 'Team Median Input'!J:J)</f>
        <v>5.7074999999999996</v>
      </c>
      <c r="D34" s="15">
        <v>5.4</v>
      </c>
      <c r="E34" s="16">
        <f t="shared" si="16"/>
        <v>0.30749999999999922</v>
      </c>
      <c r="F34" s="5">
        <f t="shared" si="17"/>
        <v>5.6944444444444242E-2</v>
      </c>
      <c r="G34" s="6" t="str">
        <f t="shared" si="18"/>
        <v>🟡 Yellow</v>
      </c>
    </row>
    <row r="35" spans="1:7" ht="18" customHeight="1">
      <c r="A35" s="18" t="s">
        <v>202</v>
      </c>
      <c r="B35" s="12" t="s">
        <v>163</v>
      </c>
      <c r="C35" s="69">
        <f>AVERAGEIF('Team Median Input'!A:A, A35, 'Team Median Input'!J:J)</f>
        <v>6.0325000000000006</v>
      </c>
      <c r="D35" s="15">
        <v>5.4</v>
      </c>
      <c r="E35" s="16">
        <f t="shared" si="16"/>
        <v>0.63250000000000028</v>
      </c>
      <c r="F35" s="5">
        <f t="shared" si="17"/>
        <v>0.11712962962962958</v>
      </c>
      <c r="G35" s="6" t="str">
        <f t="shared" si="18"/>
        <v>🔴 Red</v>
      </c>
    </row>
    <row r="36" spans="1:7" ht="18" customHeight="1">
      <c r="A36" s="18" t="s">
        <v>203</v>
      </c>
      <c r="B36" s="12" t="s">
        <v>164</v>
      </c>
      <c r="C36" s="69">
        <f>AVERAGEIF('Team Median Input'!A:A, A36, 'Team Median Input'!J:J)</f>
        <v>4.6849999999999996</v>
      </c>
      <c r="D36" s="15">
        <v>5.4</v>
      </c>
      <c r="E36" s="16">
        <f t="shared" si="16"/>
        <v>-0.71500000000000075</v>
      </c>
      <c r="F36" s="5">
        <f t="shared" si="17"/>
        <v>-0.13240740740740753</v>
      </c>
      <c r="G36" s="6" t="str">
        <f t="shared" si="18"/>
        <v>🟢 Green</v>
      </c>
    </row>
    <row r="37" spans="1:7" ht="18" customHeight="1">
      <c r="A37" s="18" t="s">
        <v>204</v>
      </c>
      <c r="B37" s="12" t="s">
        <v>164</v>
      </c>
      <c r="C37" s="69">
        <f>AVERAGEIF('Team Median Input'!A:A, A37, 'Team Median Input'!J:J)</f>
        <v>4.3499999999999996</v>
      </c>
      <c r="D37" s="15">
        <v>5.4</v>
      </c>
      <c r="E37" s="16">
        <f t="shared" si="16"/>
        <v>-1.0500000000000007</v>
      </c>
      <c r="F37" s="5">
        <f t="shared" si="17"/>
        <v>-0.19444444444444453</v>
      </c>
      <c r="G37" s="6" t="str">
        <f t="shared" si="18"/>
        <v>🟢 Green</v>
      </c>
    </row>
    <row r="38" spans="1:7" ht="18" customHeight="1">
      <c r="A38" s="208" t="s">
        <v>207</v>
      </c>
      <c r="B38" s="12" t="s">
        <v>35</v>
      </c>
      <c r="C38" s="69">
        <f>AVERAGEIF('Team Median Input'!A:A, A38, 'Team Median Input'!J:J)</f>
        <v>4.166666666666667</v>
      </c>
      <c r="D38" s="15">
        <v>5.4</v>
      </c>
      <c r="E38" s="16">
        <f t="shared" si="16"/>
        <v>-1.2333333333333334</v>
      </c>
      <c r="F38" s="5">
        <f t="shared" si="17"/>
        <v>-0.22839506172839508</v>
      </c>
      <c r="G38" s="6" t="str">
        <f t="shared" si="18"/>
        <v>🟢 Green</v>
      </c>
    </row>
    <row r="39" spans="1:7" ht="18" customHeight="1">
      <c r="A39" s="208" t="s">
        <v>209</v>
      </c>
      <c r="B39" s="12" t="s">
        <v>35</v>
      </c>
      <c r="C39" s="69">
        <f>AVERAGEIF('Team Median Input'!A:A, A39, 'Team Median Input'!J:J)</f>
        <v>5.3025000000000002</v>
      </c>
      <c r="D39" s="15">
        <v>5.4</v>
      </c>
      <c r="E39" s="16">
        <f t="shared" si="16"/>
        <v>-9.7500000000000142E-2</v>
      </c>
      <c r="F39" s="5">
        <f t="shared" si="17"/>
        <v>-1.8055555555555602E-2</v>
      </c>
      <c r="G39" s="6" t="str">
        <f t="shared" si="18"/>
        <v>🟢 Green</v>
      </c>
    </row>
    <row r="40" spans="1:7" ht="18" customHeight="1">
      <c r="A40" s="208" t="s">
        <v>211</v>
      </c>
      <c r="B40" s="12" t="s">
        <v>165</v>
      </c>
      <c r="C40" s="69">
        <f>AVERAGEIF('Team Median Input'!A:A, A40, 'Team Median Input'!J:J)</f>
        <v>5.0999999999999996</v>
      </c>
      <c r="D40" s="15">
        <v>5.4</v>
      </c>
      <c r="E40" s="16">
        <f t="shared" si="16"/>
        <v>-0.30000000000000071</v>
      </c>
      <c r="F40" s="5">
        <f t="shared" si="17"/>
        <v>-5.5555555555555691E-2</v>
      </c>
      <c r="G40" s="6" t="str">
        <f t="shared" si="18"/>
        <v>🟢 Green</v>
      </c>
    </row>
    <row r="41" spans="1:7" ht="18" customHeight="1">
      <c r="A41" s="208" t="s">
        <v>213</v>
      </c>
      <c r="B41" s="12" t="s">
        <v>165</v>
      </c>
      <c r="C41" s="69">
        <f>AVERAGEIF('Team Median Input'!A:A, A41, 'Team Median Input'!J:J)</f>
        <v>10.14</v>
      </c>
      <c r="D41" s="15">
        <v>5.4</v>
      </c>
      <c r="E41" s="16">
        <f t="shared" si="16"/>
        <v>4.74</v>
      </c>
      <c r="F41" s="5">
        <f t="shared" si="17"/>
        <v>0.87777777777777777</v>
      </c>
      <c r="G41" s="6" t="str">
        <f t="shared" si="18"/>
        <v>🔴 Red</v>
      </c>
    </row>
    <row r="42" spans="1:7" ht="18" customHeight="1">
      <c r="A42" s="18"/>
      <c r="B42" s="12"/>
      <c r="C42" s="14"/>
      <c r="D42" s="17"/>
      <c r="E42" s="16" t="str">
        <f t="shared" si="16"/>
        <v/>
      </c>
      <c r="F42" s="5" t="str">
        <f t="shared" si="17"/>
        <v/>
      </c>
      <c r="G42" s="6" t="str">
        <f t="shared" si="18"/>
        <v/>
      </c>
    </row>
    <row r="43" spans="1:7" ht="18" customHeight="1">
      <c r="A43" s="18"/>
      <c r="B43" s="12"/>
      <c r="C43" s="14"/>
      <c r="D43" s="17"/>
      <c r="E43" s="16" t="str">
        <f t="shared" si="16"/>
        <v/>
      </c>
      <c r="F43" s="5" t="str">
        <f t="shared" si="17"/>
        <v/>
      </c>
      <c r="G43" s="6" t="str">
        <f t="shared" si="18"/>
        <v/>
      </c>
    </row>
    <row r="47" spans="1:7">
      <c r="A47" s="266" t="s">
        <v>281</v>
      </c>
      <c r="B47" s="266"/>
      <c r="C47" s="266"/>
      <c r="D47" s="266"/>
      <c r="E47" s="266"/>
      <c r="F47" s="266"/>
      <c r="G47" s="266"/>
    </row>
    <row r="48" spans="1:7" ht="18.95" customHeight="1">
      <c r="A48" s="271" t="s">
        <v>282</v>
      </c>
      <c r="B48" s="271"/>
      <c r="C48" s="271"/>
      <c r="D48" s="271"/>
      <c r="E48" s="271"/>
      <c r="F48" s="271"/>
      <c r="G48" s="271"/>
    </row>
    <row r="49" spans="1:7" ht="26.1">
      <c r="A49" s="1" t="s">
        <v>193</v>
      </c>
      <c r="B49" s="1" t="s">
        <v>155</v>
      </c>
      <c r="C49" s="1" t="s">
        <v>276</v>
      </c>
      <c r="D49" s="1" t="s">
        <v>277</v>
      </c>
      <c r="E49" s="1" t="s">
        <v>278</v>
      </c>
      <c r="F49" s="1" t="s">
        <v>279</v>
      </c>
      <c r="G49" s="1" t="s">
        <v>280</v>
      </c>
    </row>
    <row r="50" spans="1:7">
      <c r="A50" s="18" t="s">
        <v>197</v>
      </c>
      <c r="B50" s="12" t="s">
        <v>161</v>
      </c>
      <c r="C50" s="14">
        <f>ROUND(AVERAGEIF('Team Median Input'!A:A, A50, 'Team Median Input'!G:G),1)</f>
        <v>5.2</v>
      </c>
      <c r="D50" s="15">
        <v>5.2</v>
      </c>
      <c r="E50" s="16">
        <f t="shared" ref="E50:E63" si="19">IFERROR(IF(C50="","",C50-D50),"")</f>
        <v>0</v>
      </c>
      <c r="F50" s="5">
        <f t="shared" ref="F50:F63" si="20">IFERROR(IF(C50="","",C50/D50-1),"")</f>
        <v>0</v>
      </c>
      <c r="G50" s="6" t="str">
        <f t="shared" ref="G50:G63" si="21">IF(F50="","",IF(F50&lt;=0,"🟢 Green",IF(F50&lt;=0.1,"🟡 Yellow","🔴 Red")))</f>
        <v>🟢 Green</v>
      </c>
    </row>
    <row r="51" spans="1:7">
      <c r="A51" s="18" t="s">
        <v>198</v>
      </c>
      <c r="B51" s="12" t="s">
        <v>162</v>
      </c>
      <c r="C51" s="14">
        <f>AVERAGEIF('Team Median Input'!A:A, A51, 'Team Median Input'!G:G)</f>
        <v>3.7649999999999997</v>
      </c>
      <c r="D51" s="15">
        <v>5.2</v>
      </c>
      <c r="E51" s="16">
        <f t="shared" si="19"/>
        <v>-1.4350000000000005</v>
      </c>
      <c r="F51" s="5">
        <f t="shared" si="20"/>
        <v>-0.27596153846153859</v>
      </c>
      <c r="G51" s="6" t="str">
        <f t="shared" si="21"/>
        <v>🟢 Green</v>
      </c>
    </row>
    <row r="52" spans="1:7">
      <c r="A52" s="18" t="s">
        <v>199</v>
      </c>
      <c r="B52" s="12" t="s">
        <v>162</v>
      </c>
      <c r="C52" s="14">
        <f>AVERAGEIF('Team Median Input'!A:A, A52, 'Team Median Input'!G:G)</f>
        <v>2.7849999999999997</v>
      </c>
      <c r="D52" s="15">
        <v>5.2</v>
      </c>
      <c r="E52" s="16">
        <f t="shared" si="19"/>
        <v>-2.4150000000000005</v>
      </c>
      <c r="F52" s="5">
        <f t="shared" si="20"/>
        <v>-0.46442307692307705</v>
      </c>
      <c r="G52" s="6" t="str">
        <f t="shared" si="21"/>
        <v>🟢 Green</v>
      </c>
    </row>
    <row r="53" spans="1:7">
      <c r="A53" s="18" t="s">
        <v>200</v>
      </c>
      <c r="B53" s="12" t="s">
        <v>163</v>
      </c>
      <c r="C53" s="14">
        <f>AVERAGEIF('Team Median Input'!A:A, A53, 'Team Median Input'!G:G)</f>
        <v>3.0100000000000002</v>
      </c>
      <c r="D53" s="15">
        <v>5.2</v>
      </c>
      <c r="E53" s="16">
        <f t="shared" si="19"/>
        <v>-2.19</v>
      </c>
      <c r="F53" s="5">
        <f t="shared" si="20"/>
        <v>-0.4211538461538461</v>
      </c>
      <c r="G53" s="6" t="str">
        <f t="shared" si="21"/>
        <v>🟢 Green</v>
      </c>
    </row>
    <row r="54" spans="1:7">
      <c r="A54" s="18" t="s">
        <v>201</v>
      </c>
      <c r="B54" s="12" t="s">
        <v>163</v>
      </c>
      <c r="C54" s="14">
        <f>AVERAGEIF('Team Median Input'!A:A, A54, 'Team Median Input'!G:G)</f>
        <v>5.03</v>
      </c>
      <c r="D54" s="15">
        <v>5.2</v>
      </c>
      <c r="E54" s="16">
        <f t="shared" si="19"/>
        <v>-0.16999999999999993</v>
      </c>
      <c r="F54" s="5">
        <f t="shared" si="20"/>
        <v>-3.2692307692307687E-2</v>
      </c>
      <c r="G54" s="6" t="str">
        <f t="shared" si="21"/>
        <v>🟢 Green</v>
      </c>
    </row>
    <row r="55" spans="1:7">
      <c r="A55" s="18" t="s">
        <v>202</v>
      </c>
      <c r="B55" s="12" t="s">
        <v>163</v>
      </c>
      <c r="C55" s="14">
        <f>AVERAGEIF('Team Median Input'!A:A, A55, 'Team Median Input'!G:G)</f>
        <v>4.1574999999999998</v>
      </c>
      <c r="D55" s="15">
        <v>5.2</v>
      </c>
      <c r="E55" s="16">
        <f t="shared" si="19"/>
        <v>-1.0425000000000004</v>
      </c>
      <c r="F55" s="5">
        <f t="shared" si="20"/>
        <v>-0.2004807692307693</v>
      </c>
      <c r="G55" s="6" t="str">
        <f t="shared" si="21"/>
        <v>🟢 Green</v>
      </c>
    </row>
    <row r="56" spans="1:7">
      <c r="A56" s="18" t="s">
        <v>203</v>
      </c>
      <c r="B56" s="12" t="s">
        <v>164</v>
      </c>
      <c r="C56" s="14">
        <f>AVERAGEIF('Team Median Input'!A:A, A56, 'Team Median Input'!G:G)</f>
        <v>4.1499999999999995</v>
      </c>
      <c r="D56" s="15">
        <v>5.2</v>
      </c>
      <c r="E56" s="16">
        <f t="shared" si="19"/>
        <v>-1.0500000000000007</v>
      </c>
      <c r="F56" s="5">
        <f t="shared" si="20"/>
        <v>-0.20192307692307709</v>
      </c>
      <c r="G56" s="6" t="str">
        <f t="shared" si="21"/>
        <v>🟢 Green</v>
      </c>
    </row>
    <row r="57" spans="1:7">
      <c r="A57" s="18" t="s">
        <v>204</v>
      </c>
      <c r="B57" s="12" t="s">
        <v>164</v>
      </c>
      <c r="C57" s="14">
        <f>AVERAGEIF('Team Median Input'!A:A, A57, 'Team Median Input'!G:G)</f>
        <v>2.7800000000000002</v>
      </c>
      <c r="D57" s="15">
        <v>5.2</v>
      </c>
      <c r="E57" s="16">
        <f t="shared" si="19"/>
        <v>-2.42</v>
      </c>
      <c r="F57" s="5">
        <f t="shared" si="20"/>
        <v>-0.4653846153846154</v>
      </c>
      <c r="G57" s="6" t="str">
        <f t="shared" si="21"/>
        <v>🟢 Green</v>
      </c>
    </row>
    <row r="58" spans="1:7">
      <c r="A58" s="208" t="s">
        <v>207</v>
      </c>
      <c r="B58" s="12" t="s">
        <v>35</v>
      </c>
      <c r="C58" s="14">
        <f>AVERAGEIF('Team Median Input'!A:A, A58, 'Team Median Input'!G:G)</f>
        <v>3.3999999999999995</v>
      </c>
      <c r="D58" s="15">
        <v>5.2</v>
      </c>
      <c r="E58" s="16">
        <f t="shared" si="19"/>
        <v>-1.8000000000000007</v>
      </c>
      <c r="F58" s="5">
        <f t="shared" si="20"/>
        <v>-0.34615384615384626</v>
      </c>
      <c r="G58" s="6" t="str">
        <f t="shared" si="21"/>
        <v>🟢 Green</v>
      </c>
    </row>
    <row r="59" spans="1:7">
      <c r="A59" s="208" t="s">
        <v>209</v>
      </c>
      <c r="B59" s="12" t="s">
        <v>35</v>
      </c>
      <c r="C59" s="14">
        <f>AVERAGEIF('Team Median Input'!A:A, A59, 'Team Median Input'!G:G)</f>
        <v>4.2374999999999998</v>
      </c>
      <c r="D59" s="15">
        <v>5.2</v>
      </c>
      <c r="E59" s="16">
        <f t="shared" si="19"/>
        <v>-0.96250000000000036</v>
      </c>
      <c r="F59" s="5">
        <f t="shared" si="20"/>
        <v>-0.18509615384615385</v>
      </c>
      <c r="G59" s="6" t="str">
        <f t="shared" si="21"/>
        <v>🟢 Green</v>
      </c>
    </row>
    <row r="60" spans="1:7">
      <c r="A60" s="208" t="s">
        <v>211</v>
      </c>
      <c r="B60" s="12" t="s">
        <v>165</v>
      </c>
      <c r="C60" s="14">
        <f>AVERAGEIF('Team Median Input'!A:A, A60, 'Team Median Input'!G:G)</f>
        <v>3.7</v>
      </c>
      <c r="D60" s="15">
        <v>5.2</v>
      </c>
      <c r="E60" s="16">
        <f t="shared" si="19"/>
        <v>-1.5</v>
      </c>
      <c r="F60" s="5">
        <f t="shared" si="20"/>
        <v>-0.28846153846153844</v>
      </c>
      <c r="G60" s="6" t="str">
        <f t="shared" si="21"/>
        <v>🟢 Green</v>
      </c>
    </row>
    <row r="61" spans="1:7">
      <c r="A61" s="208" t="s">
        <v>213</v>
      </c>
      <c r="B61" s="12" t="s">
        <v>165</v>
      </c>
      <c r="C61" s="14">
        <f>AVERAGEIF('Team Median Input'!A:A, A61, 'Team Median Input'!G:G)</f>
        <v>6.1775000000000002</v>
      </c>
      <c r="D61" s="15">
        <v>5.2</v>
      </c>
      <c r="E61" s="16">
        <f t="shared" si="19"/>
        <v>0.97750000000000004</v>
      </c>
      <c r="F61" s="5">
        <f t="shared" si="20"/>
        <v>0.18798076923076934</v>
      </c>
      <c r="G61" s="6" t="str">
        <f t="shared" si="21"/>
        <v>🔴 Red</v>
      </c>
    </row>
    <row r="62" spans="1:7">
      <c r="A62" s="18" t="s">
        <v>283</v>
      </c>
      <c r="B62" s="12"/>
      <c r="C62" s="14"/>
      <c r="D62" s="17"/>
      <c r="E62" s="16" t="str">
        <f t="shared" si="19"/>
        <v/>
      </c>
      <c r="F62" s="5" t="str">
        <f t="shared" si="20"/>
        <v/>
      </c>
      <c r="G62" s="6" t="str">
        <f t="shared" si="21"/>
        <v/>
      </c>
    </row>
    <row r="63" spans="1:7">
      <c r="A63" s="18" t="s">
        <v>284</v>
      </c>
      <c r="B63" s="12"/>
      <c r="C63" s="14"/>
      <c r="D63" s="17"/>
      <c r="E63" s="16" t="str">
        <f t="shared" si="19"/>
        <v/>
      </c>
      <c r="F63" s="5" t="str">
        <f t="shared" si="20"/>
        <v/>
      </c>
      <c r="G63" s="6" t="str">
        <f t="shared" si="21"/>
        <v/>
      </c>
    </row>
    <row r="66" spans="1:7">
      <c r="A66" s="266" t="s">
        <v>285</v>
      </c>
      <c r="B66" s="266"/>
      <c r="C66" s="266"/>
      <c r="D66" s="266"/>
      <c r="E66" s="266"/>
      <c r="F66" s="266"/>
      <c r="G66" s="266"/>
    </row>
    <row r="67" spans="1:7">
      <c r="A67" s="271" t="s">
        <v>286</v>
      </c>
      <c r="B67" s="271"/>
      <c r="C67" s="271"/>
      <c r="D67" s="271"/>
      <c r="E67" s="271"/>
      <c r="F67" s="271"/>
      <c r="G67" s="271"/>
    </row>
    <row r="68" spans="1:7" ht="26.1">
      <c r="A68" s="1" t="s">
        <v>193</v>
      </c>
      <c r="B68" s="1" t="s">
        <v>155</v>
      </c>
      <c r="C68" s="1" t="s">
        <v>276</v>
      </c>
      <c r="D68" s="1" t="s">
        <v>277</v>
      </c>
      <c r="E68" s="1" t="s">
        <v>278</v>
      </c>
      <c r="F68" s="1" t="s">
        <v>279</v>
      </c>
      <c r="G68" s="1" t="s">
        <v>280</v>
      </c>
    </row>
    <row r="69" spans="1:7">
      <c r="A69" s="18" t="s">
        <v>197</v>
      </c>
      <c r="B69" s="12" t="s">
        <v>161</v>
      </c>
      <c r="C69" s="14">
        <f>ROUND(AVERAGEIF('Team Median Input'!A:A, A69, 'Team Median Input'!H:H),1)</f>
        <v>3.2</v>
      </c>
      <c r="D69" s="15">
        <v>3.2</v>
      </c>
      <c r="E69" s="16">
        <f t="shared" ref="E69:E82" si="22">IFERROR(IF(C69="","",C69-D69),"")</f>
        <v>0</v>
      </c>
      <c r="F69" s="5">
        <f t="shared" ref="F69:F82" si="23">IFERROR(IF(C69="","",C69/D69-1),"")</f>
        <v>0</v>
      </c>
      <c r="G69" s="6" t="str">
        <f t="shared" ref="G69:G82" si="24">IF(F69="","",IF(F69&lt;=0,"🟢 Green",IF(F69&lt;=0.1,"🟡 Yellow","🔴 Red")))</f>
        <v>🟢 Green</v>
      </c>
    </row>
    <row r="70" spans="1:7">
      <c r="A70" s="18" t="s">
        <v>198</v>
      </c>
      <c r="B70" s="12" t="s">
        <v>162</v>
      </c>
      <c r="C70" s="14">
        <f>AVERAGEIF('Team Median Input'!A:A, A70, 'Team Median Input'!H:H)</f>
        <v>3.1225000000000001</v>
      </c>
      <c r="D70" s="15">
        <v>3.2</v>
      </c>
      <c r="E70" s="16">
        <f t="shared" si="22"/>
        <v>-7.7500000000000124E-2</v>
      </c>
      <c r="F70" s="5">
        <f t="shared" si="23"/>
        <v>-2.4218750000000067E-2</v>
      </c>
      <c r="G70" s="6" t="str">
        <f t="shared" si="24"/>
        <v>🟢 Green</v>
      </c>
    </row>
    <row r="71" spans="1:7">
      <c r="A71" s="18" t="s">
        <v>199</v>
      </c>
      <c r="B71" s="12" t="s">
        <v>162</v>
      </c>
      <c r="C71" s="14">
        <f>AVERAGEIF('Team Median Input'!A:A, A71, 'Team Median Input'!H:H)</f>
        <v>1.2399999999999998</v>
      </c>
      <c r="D71" s="15">
        <v>3.2</v>
      </c>
      <c r="E71" s="16">
        <f t="shared" si="22"/>
        <v>-1.9600000000000004</v>
      </c>
      <c r="F71" s="5">
        <f t="shared" si="23"/>
        <v>-0.61250000000000004</v>
      </c>
      <c r="G71" s="6" t="str">
        <f t="shared" si="24"/>
        <v>🟢 Green</v>
      </c>
    </row>
    <row r="72" spans="1:7">
      <c r="A72" s="18" t="s">
        <v>200</v>
      </c>
      <c r="B72" s="12" t="s">
        <v>163</v>
      </c>
      <c r="C72" s="14">
        <f>AVERAGEIF('Team Median Input'!A:A, A72, 'Team Median Input'!H:H)</f>
        <v>1.6925000000000001</v>
      </c>
      <c r="D72" s="15">
        <v>3.2</v>
      </c>
      <c r="E72" s="16">
        <f t="shared" si="22"/>
        <v>-1.5075000000000001</v>
      </c>
      <c r="F72" s="5">
        <f t="shared" si="23"/>
        <v>-0.47109374999999998</v>
      </c>
      <c r="G72" s="6" t="str">
        <f t="shared" si="24"/>
        <v>🟢 Green</v>
      </c>
    </row>
    <row r="73" spans="1:7">
      <c r="A73" s="18" t="s">
        <v>201</v>
      </c>
      <c r="B73" s="12" t="s">
        <v>163</v>
      </c>
      <c r="C73" s="14">
        <f>AVERAGEIF('Team Median Input'!A:A, A73, 'Team Median Input'!H:H)</f>
        <v>2.4575</v>
      </c>
      <c r="D73" s="15">
        <v>3.2</v>
      </c>
      <c r="E73" s="16">
        <f t="shared" si="22"/>
        <v>-0.74250000000000016</v>
      </c>
      <c r="F73" s="5">
        <f t="shared" si="23"/>
        <v>-0.23203125000000002</v>
      </c>
      <c r="G73" s="6" t="str">
        <f t="shared" si="24"/>
        <v>🟢 Green</v>
      </c>
    </row>
    <row r="74" spans="1:7">
      <c r="A74" s="18" t="s">
        <v>202</v>
      </c>
      <c r="B74" s="12" t="s">
        <v>163</v>
      </c>
      <c r="C74" s="14">
        <f>AVERAGEIF('Team Median Input'!A:A, A74, 'Team Median Input'!H:H)</f>
        <v>3.6749999999999998</v>
      </c>
      <c r="D74" s="15">
        <v>3.2</v>
      </c>
      <c r="E74" s="16">
        <f t="shared" si="22"/>
        <v>0.47499999999999964</v>
      </c>
      <c r="F74" s="5">
        <f t="shared" si="23"/>
        <v>0.14843749999999978</v>
      </c>
      <c r="G74" s="6" t="str">
        <f t="shared" si="24"/>
        <v>🔴 Red</v>
      </c>
    </row>
    <row r="75" spans="1:7">
      <c r="A75" s="18" t="s">
        <v>203</v>
      </c>
      <c r="B75" s="12" t="s">
        <v>164</v>
      </c>
      <c r="C75" s="14">
        <f>AVERAGEIF('Team Median Input'!A:A, A75, 'Team Median Input'!H:H)</f>
        <v>2.4249999999999998</v>
      </c>
      <c r="D75" s="15">
        <v>3.2</v>
      </c>
      <c r="E75" s="16">
        <f t="shared" si="22"/>
        <v>-0.77500000000000036</v>
      </c>
      <c r="F75" s="5">
        <f t="shared" si="23"/>
        <v>-0.24218750000000011</v>
      </c>
      <c r="G75" s="6" t="str">
        <f t="shared" si="24"/>
        <v>🟢 Green</v>
      </c>
    </row>
    <row r="76" spans="1:7">
      <c r="A76" s="18" t="s">
        <v>204</v>
      </c>
      <c r="B76" s="12" t="s">
        <v>164</v>
      </c>
      <c r="C76" s="14">
        <f>AVERAGEIF('Team Median Input'!A:A, A76, 'Team Median Input'!H:H)</f>
        <v>2.125</v>
      </c>
      <c r="D76" s="15">
        <v>3.2</v>
      </c>
      <c r="E76" s="16">
        <f t="shared" si="22"/>
        <v>-1.0750000000000002</v>
      </c>
      <c r="F76" s="5">
        <f t="shared" si="23"/>
        <v>-0.3359375</v>
      </c>
      <c r="G76" s="6" t="str">
        <f t="shared" si="24"/>
        <v>🟢 Green</v>
      </c>
    </row>
    <row r="77" spans="1:7">
      <c r="A77" s="208" t="s">
        <v>207</v>
      </c>
      <c r="B77" s="12" t="s">
        <v>35</v>
      </c>
      <c r="C77" s="14">
        <f>AVERAGEIF('Team Median Input'!A:A, A77, 'Team Median Input'!H:H)</f>
        <v>2.5</v>
      </c>
      <c r="D77" s="15">
        <v>3.2</v>
      </c>
      <c r="E77" s="16">
        <f t="shared" si="22"/>
        <v>-0.70000000000000018</v>
      </c>
      <c r="F77" s="5">
        <f t="shared" si="23"/>
        <v>-0.21875</v>
      </c>
      <c r="G77" s="6" t="str">
        <f t="shared" si="24"/>
        <v>🟢 Green</v>
      </c>
    </row>
    <row r="78" spans="1:7">
      <c r="A78" s="208" t="s">
        <v>209</v>
      </c>
      <c r="B78" s="12" t="s">
        <v>35</v>
      </c>
      <c r="C78" s="14">
        <f>AVERAGEIF('Team Median Input'!A:A, A78, 'Team Median Input'!H:H)</f>
        <v>1.8350000000000002</v>
      </c>
      <c r="D78" s="15">
        <v>3.2</v>
      </c>
      <c r="E78" s="16">
        <f t="shared" si="22"/>
        <v>-1.365</v>
      </c>
      <c r="F78" s="5">
        <f t="shared" si="23"/>
        <v>-0.42656249999999996</v>
      </c>
      <c r="G78" s="6" t="str">
        <f t="shared" si="24"/>
        <v>🟢 Green</v>
      </c>
    </row>
    <row r="79" spans="1:7">
      <c r="A79" s="208" t="s">
        <v>211</v>
      </c>
      <c r="B79" s="12" t="s">
        <v>165</v>
      </c>
      <c r="C79" s="14">
        <f>AVERAGEIF('Team Median Input'!A:A, A79, 'Team Median Input'!H:H)</f>
        <v>1.9</v>
      </c>
      <c r="D79" s="15">
        <v>3.2</v>
      </c>
      <c r="E79" s="16">
        <f t="shared" si="22"/>
        <v>-1.3000000000000003</v>
      </c>
      <c r="F79" s="5">
        <f t="shared" si="23"/>
        <v>-0.40625000000000011</v>
      </c>
      <c r="G79" s="6" t="str">
        <f t="shared" si="24"/>
        <v>🟢 Green</v>
      </c>
    </row>
    <row r="80" spans="1:7">
      <c r="A80" s="208" t="s">
        <v>213</v>
      </c>
      <c r="B80" s="12" t="s">
        <v>165</v>
      </c>
      <c r="C80" s="14">
        <f>AVERAGEIF('Team Median Input'!A:A, A80, 'Team Median Input'!H:H)</f>
        <v>2.0375000000000001</v>
      </c>
      <c r="D80" s="15">
        <v>3.2</v>
      </c>
      <c r="E80" s="16">
        <f t="shared" si="22"/>
        <v>-1.1625000000000001</v>
      </c>
      <c r="F80" s="5">
        <f t="shared" si="23"/>
        <v>-0.36328125</v>
      </c>
      <c r="G80" s="6" t="str">
        <f t="shared" si="24"/>
        <v>🟢 Green</v>
      </c>
    </row>
    <row r="81" spans="1:7">
      <c r="A81" s="18" t="s">
        <v>283</v>
      </c>
      <c r="B81" s="12"/>
      <c r="C81" s="14"/>
      <c r="D81" s="17"/>
      <c r="E81" s="16" t="str">
        <f t="shared" si="22"/>
        <v/>
      </c>
      <c r="F81" s="5" t="str">
        <f t="shared" si="23"/>
        <v/>
      </c>
      <c r="G81" s="6" t="str">
        <f t="shared" si="24"/>
        <v/>
      </c>
    </row>
    <row r="82" spans="1:7">
      <c r="A82" s="18" t="s">
        <v>284</v>
      </c>
      <c r="B82" s="12"/>
      <c r="C82" s="14"/>
      <c r="D82" s="17"/>
      <c r="E82" s="16" t="str">
        <f t="shared" si="22"/>
        <v/>
      </c>
      <c r="F82" s="5" t="str">
        <f t="shared" si="23"/>
        <v/>
      </c>
      <c r="G82" s="6" t="str">
        <f t="shared" si="24"/>
        <v/>
      </c>
    </row>
  </sheetData>
  <mergeCells count="11">
    <mergeCell ref="A47:G47"/>
    <mergeCell ref="A48:G48"/>
    <mergeCell ref="A66:G66"/>
    <mergeCell ref="A67:G67"/>
    <mergeCell ref="A27:G27"/>
    <mergeCell ref="A3:P3"/>
    <mergeCell ref="A1:P1"/>
    <mergeCell ref="A26:G26"/>
    <mergeCell ref="A19:E19"/>
    <mergeCell ref="A2:P2"/>
    <mergeCell ref="G19:K19"/>
  </mergeCell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9"/>
  <sheetViews>
    <sheetView showGridLines="0" zoomScale="90" zoomScaleNormal="90" workbookViewId="0">
      <selection activeCell="E12" sqref="E12"/>
    </sheetView>
  </sheetViews>
  <sheetFormatPr defaultColWidth="8.7109375" defaultRowHeight="14.45"/>
  <cols>
    <col min="1" max="1" width="4.7109375" customWidth="1"/>
    <col min="2" max="2" width="32.85546875" customWidth="1"/>
    <col min="3" max="3" width="52.5703125" customWidth="1"/>
    <col min="4" max="6" width="16" customWidth="1"/>
    <col min="7" max="7" width="48.140625" customWidth="1"/>
  </cols>
  <sheetData>
    <row r="1" spans="2:7" ht="27.75" customHeight="1">
      <c r="B1" s="260" t="s">
        <v>287</v>
      </c>
      <c r="C1" s="260"/>
      <c r="D1" s="260"/>
      <c r="E1" s="260"/>
      <c r="F1" s="260"/>
      <c r="G1" s="260"/>
    </row>
    <row r="3" spans="2:7" ht="24" customHeight="1">
      <c r="B3" s="1" t="s">
        <v>30</v>
      </c>
      <c r="C3" s="1" t="s">
        <v>288</v>
      </c>
      <c r="D3" s="1" t="s">
        <v>289</v>
      </c>
      <c r="E3" s="1" t="s">
        <v>290</v>
      </c>
      <c r="F3" s="1" t="s">
        <v>291</v>
      </c>
      <c r="G3" s="1" t="s">
        <v>292</v>
      </c>
    </row>
    <row r="4" spans="2:7">
      <c r="B4" s="22" t="s">
        <v>293</v>
      </c>
      <c r="C4" s="30" t="s">
        <v>294</v>
      </c>
      <c r="D4" s="31" t="s">
        <v>295</v>
      </c>
      <c r="E4" s="32" t="s">
        <v>296</v>
      </c>
      <c r="F4" s="33" t="s">
        <v>297</v>
      </c>
      <c r="G4" s="34" t="s">
        <v>298</v>
      </c>
    </row>
    <row r="5" spans="2:7">
      <c r="B5" s="25" t="s">
        <v>299</v>
      </c>
      <c r="C5" s="35" t="s">
        <v>300</v>
      </c>
      <c r="D5" s="31" t="s">
        <v>301</v>
      </c>
      <c r="E5" s="32" t="s">
        <v>302</v>
      </c>
      <c r="F5" s="33" t="s">
        <v>303</v>
      </c>
      <c r="G5" s="36" t="s">
        <v>304</v>
      </c>
    </row>
    <row r="6" spans="2:7" ht="26.1">
      <c r="B6" s="22" t="s">
        <v>305</v>
      </c>
      <c r="C6" s="30" t="s">
        <v>306</v>
      </c>
      <c r="D6" s="31" t="s">
        <v>307</v>
      </c>
      <c r="E6" s="32" t="s">
        <v>308</v>
      </c>
      <c r="F6" s="33" t="s">
        <v>309</v>
      </c>
      <c r="G6" s="34" t="s">
        <v>310</v>
      </c>
    </row>
    <row r="7" spans="2:7" ht="26.1" hidden="1">
      <c r="B7" s="25" t="s">
        <v>311</v>
      </c>
      <c r="C7" s="35" t="s">
        <v>312</v>
      </c>
      <c r="D7" s="31" t="s">
        <v>307</v>
      </c>
      <c r="E7" s="32" t="s">
        <v>308</v>
      </c>
      <c r="F7" s="33" t="s">
        <v>309</v>
      </c>
      <c r="G7" s="36" t="s">
        <v>313</v>
      </c>
    </row>
    <row r="8" spans="2:7">
      <c r="B8" s="22" t="s">
        <v>82</v>
      </c>
      <c r="C8" s="30" t="s">
        <v>314</v>
      </c>
      <c r="D8" s="31" t="s">
        <v>315</v>
      </c>
      <c r="E8" s="32" t="s">
        <v>316</v>
      </c>
      <c r="F8" s="33" t="s">
        <v>317</v>
      </c>
      <c r="G8" s="34" t="s">
        <v>318</v>
      </c>
    </row>
    <row r="9" spans="2:7" ht="23.1">
      <c r="B9" s="25" t="s">
        <v>85</v>
      </c>
      <c r="C9" s="35" t="s">
        <v>319</v>
      </c>
      <c r="D9" s="31" t="s">
        <v>307</v>
      </c>
      <c r="E9" s="32" t="s">
        <v>320</v>
      </c>
      <c r="F9" s="33" t="s">
        <v>321</v>
      </c>
      <c r="G9" s="36" t="s">
        <v>322</v>
      </c>
    </row>
    <row r="10" spans="2:7" ht="26.1">
      <c r="B10" s="22" t="s">
        <v>323</v>
      </c>
      <c r="C10" s="30" t="s">
        <v>324</v>
      </c>
      <c r="D10" s="31" t="s">
        <v>325</v>
      </c>
      <c r="E10" s="32" t="s">
        <v>326</v>
      </c>
      <c r="F10" s="33" t="s">
        <v>327</v>
      </c>
      <c r="G10" s="34" t="s">
        <v>328</v>
      </c>
    </row>
    <row r="11" spans="2:7">
      <c r="B11" s="25" t="s">
        <v>89</v>
      </c>
      <c r="C11" s="35" t="s">
        <v>329</v>
      </c>
      <c r="D11" s="31" t="s">
        <v>330</v>
      </c>
      <c r="E11" s="32" t="s">
        <v>331</v>
      </c>
      <c r="F11" s="33" t="s">
        <v>332</v>
      </c>
      <c r="G11" s="36" t="s">
        <v>333</v>
      </c>
    </row>
    <row r="12" spans="2:7">
      <c r="B12" s="25" t="s">
        <v>68</v>
      </c>
      <c r="C12" s="35" t="s">
        <v>334</v>
      </c>
      <c r="D12" s="31" t="s">
        <v>335</v>
      </c>
      <c r="E12" s="32" t="s">
        <v>336</v>
      </c>
      <c r="F12" s="33" t="s">
        <v>337</v>
      </c>
      <c r="G12" s="36" t="s">
        <v>333</v>
      </c>
    </row>
    <row r="14" spans="2:7" ht="18" customHeight="1">
      <c r="B14" s="274" t="s">
        <v>338</v>
      </c>
      <c r="C14" s="274"/>
      <c r="D14" s="274"/>
      <c r="E14" s="274"/>
      <c r="F14" s="274"/>
      <c r="G14" s="274"/>
    </row>
    <row r="15" spans="2:7" ht="31.5" customHeight="1">
      <c r="B15" s="37" t="s">
        <v>339</v>
      </c>
      <c r="C15" s="273" t="s">
        <v>340</v>
      </c>
      <c r="D15" s="273"/>
      <c r="E15" s="273"/>
      <c r="F15" s="273"/>
      <c r="G15" s="273"/>
    </row>
    <row r="16" spans="2:7" ht="31.5" customHeight="1">
      <c r="B16" s="37" t="s">
        <v>341</v>
      </c>
      <c r="C16" s="272" t="s">
        <v>342</v>
      </c>
      <c r="D16" s="272"/>
      <c r="E16" s="272"/>
      <c r="F16" s="272"/>
      <c r="G16" s="272"/>
    </row>
    <row r="17" spans="2:7" ht="31.5" customHeight="1">
      <c r="B17" s="37" t="s">
        <v>343</v>
      </c>
      <c r="C17" s="272" t="s">
        <v>344</v>
      </c>
      <c r="D17" s="272"/>
      <c r="E17" s="272"/>
      <c r="F17" s="272"/>
      <c r="G17" s="272"/>
    </row>
    <row r="18" spans="2:7" ht="31.5" customHeight="1">
      <c r="B18" s="37" t="s">
        <v>345</v>
      </c>
      <c r="C18" s="273" t="s">
        <v>346</v>
      </c>
      <c r="D18" s="273"/>
      <c r="E18" s="273"/>
      <c r="F18" s="273"/>
      <c r="G18" s="273"/>
    </row>
    <row r="19" spans="2:7" ht="31.5" customHeight="1">
      <c r="B19" s="37" t="s">
        <v>347</v>
      </c>
      <c r="C19" s="272" t="s">
        <v>348</v>
      </c>
      <c r="D19" s="272"/>
      <c r="E19" s="272"/>
      <c r="F19" s="272"/>
      <c r="G19" s="272"/>
    </row>
  </sheetData>
  <mergeCells count="7">
    <mergeCell ref="C17:G17"/>
    <mergeCell ref="C18:G18"/>
    <mergeCell ref="C19:G19"/>
    <mergeCell ref="B1:G1"/>
    <mergeCell ref="B14:G14"/>
    <mergeCell ref="C15:G15"/>
    <mergeCell ref="C16:G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64"/>
  <sheetViews>
    <sheetView tabSelected="1" topLeftCell="H1" workbookViewId="0">
      <pane ySplit="2" topLeftCell="A3" activePane="bottomLeft" state="frozen"/>
      <selection pane="bottomLeft" activeCell="P50" sqref="P50"/>
      <selection activeCell="D1" sqref="D1"/>
    </sheetView>
  </sheetViews>
  <sheetFormatPr defaultRowHeight="14.45"/>
  <cols>
    <col min="1" max="1" width="13.85546875" customWidth="1"/>
    <col min="2" max="2" width="16.85546875" customWidth="1"/>
    <col min="3" max="3" width="10.5703125" customWidth="1"/>
    <col min="4" max="4" width="17.5703125" customWidth="1"/>
    <col min="5" max="5" width="8.7109375" customWidth="1"/>
    <col min="6" max="6" width="11.85546875" customWidth="1"/>
    <col min="7" max="7" width="15.28515625" customWidth="1"/>
    <col min="8" max="8" width="14.42578125" customWidth="1"/>
    <col min="9" max="9" width="15.140625" customWidth="1"/>
    <col min="10" max="10" width="15.7109375" customWidth="1"/>
    <col min="11" max="11" width="17" customWidth="1"/>
    <col min="12" max="12" width="14.7109375" customWidth="1"/>
    <col min="13" max="13" width="14.42578125" customWidth="1"/>
    <col min="14" max="14" width="12.5703125" bestFit="1" customWidth="1"/>
    <col min="15" max="15" width="18.7109375" style="45" customWidth="1"/>
    <col min="16" max="16" width="80.42578125" customWidth="1"/>
  </cols>
  <sheetData>
    <row r="1" spans="1:16" ht="17.45" customHeight="1">
      <c r="A1" s="249" t="s">
        <v>349</v>
      </c>
      <c r="B1" s="249"/>
      <c r="C1" s="249"/>
      <c r="D1" s="249"/>
      <c r="E1" s="249"/>
      <c r="F1" s="249"/>
      <c r="G1" s="249"/>
      <c r="H1" s="249"/>
      <c r="I1" s="249"/>
      <c r="J1" s="249"/>
      <c r="K1" s="249"/>
      <c r="L1" s="249"/>
      <c r="M1" s="249"/>
      <c r="N1" s="249"/>
      <c r="O1" s="249"/>
      <c r="P1" s="249"/>
    </row>
    <row r="2" spans="1:16" ht="39">
      <c r="A2" s="107" t="s">
        <v>193</v>
      </c>
      <c r="B2" s="107" t="s">
        <v>227</v>
      </c>
      <c r="C2" s="107" t="s">
        <v>350</v>
      </c>
      <c r="D2" s="107" t="s">
        <v>351</v>
      </c>
      <c r="E2" s="107" t="s">
        <v>155</v>
      </c>
      <c r="F2" s="107" t="s">
        <v>256</v>
      </c>
      <c r="G2" s="107" t="s">
        <v>352</v>
      </c>
      <c r="H2" s="107" t="s">
        <v>258</v>
      </c>
      <c r="I2" s="107" t="s">
        <v>259</v>
      </c>
      <c r="J2" s="107" t="s">
        <v>260</v>
      </c>
      <c r="K2" s="107" t="s">
        <v>261</v>
      </c>
      <c r="L2" s="108" t="s">
        <v>353</v>
      </c>
      <c r="M2" s="108" t="s">
        <v>195</v>
      </c>
      <c r="N2" s="108" t="s">
        <v>264</v>
      </c>
      <c r="O2" s="109" t="s">
        <v>89</v>
      </c>
      <c r="P2" s="108" t="s">
        <v>234</v>
      </c>
    </row>
    <row r="3" spans="1:16">
      <c r="A3" s="110" t="s">
        <v>197</v>
      </c>
      <c r="B3" s="110" t="s">
        <v>236</v>
      </c>
      <c r="C3" s="111">
        <v>46029</v>
      </c>
      <c r="D3" s="111">
        <v>46042</v>
      </c>
      <c r="E3" s="110" t="s">
        <v>161</v>
      </c>
      <c r="F3" s="112">
        <v>0</v>
      </c>
      <c r="G3" s="112">
        <v>0</v>
      </c>
      <c r="H3" s="112">
        <v>0</v>
      </c>
      <c r="I3" s="112">
        <v>0</v>
      </c>
      <c r="J3" s="112">
        <v>0</v>
      </c>
      <c r="K3" s="112">
        <v>0</v>
      </c>
      <c r="L3" s="113">
        <f>F3+H3</f>
        <v>0</v>
      </c>
      <c r="M3" s="113">
        <f>I3+K3</f>
        <v>0</v>
      </c>
      <c r="N3" s="113"/>
      <c r="O3" s="114" t="e">
        <f>SUM(J3:K3)/M3</f>
        <v>#DIV/0!</v>
      </c>
      <c r="P3" s="61"/>
    </row>
    <row r="4" spans="1:16">
      <c r="A4" s="110" t="s">
        <v>197</v>
      </c>
      <c r="B4" s="110" t="s">
        <v>239</v>
      </c>
      <c r="C4" s="111">
        <v>46029</v>
      </c>
      <c r="D4" s="111">
        <v>46042</v>
      </c>
      <c r="E4" s="110" t="s">
        <v>161</v>
      </c>
      <c r="F4" s="112">
        <v>48</v>
      </c>
      <c r="G4" s="112">
        <v>13</v>
      </c>
      <c r="H4" s="112">
        <v>0</v>
      </c>
      <c r="I4" s="112">
        <v>30</v>
      </c>
      <c r="J4" s="112">
        <v>5</v>
      </c>
      <c r="K4" s="112">
        <v>0</v>
      </c>
      <c r="L4" s="113">
        <f>F4+H4</f>
        <v>48</v>
      </c>
      <c r="M4" s="113">
        <f t="shared" ref="M4:M26" si="0">I4+K4</f>
        <v>30</v>
      </c>
      <c r="N4" s="113">
        <v>45</v>
      </c>
      <c r="O4" s="114">
        <f>K4/M4</f>
        <v>0</v>
      </c>
      <c r="P4" s="61" t="s">
        <v>354</v>
      </c>
    </row>
    <row r="5" spans="1:16" ht="43.5">
      <c r="A5" s="110" t="s">
        <v>197</v>
      </c>
      <c r="B5" s="110" t="s">
        <v>241</v>
      </c>
      <c r="C5" s="111">
        <v>46029</v>
      </c>
      <c r="D5" s="111">
        <v>46042</v>
      </c>
      <c r="E5" s="110" t="s">
        <v>161</v>
      </c>
      <c r="F5" s="112">
        <v>120</v>
      </c>
      <c r="G5" s="112">
        <v>8</v>
      </c>
      <c r="H5" s="112">
        <v>10</v>
      </c>
      <c r="I5" s="112">
        <v>34</v>
      </c>
      <c r="J5" s="112">
        <v>1</v>
      </c>
      <c r="K5" s="112">
        <v>4</v>
      </c>
      <c r="L5" s="113">
        <f t="shared" ref="L5:L26" si="1">F5+H5</f>
        <v>130</v>
      </c>
      <c r="M5" s="113">
        <f t="shared" si="0"/>
        <v>38</v>
      </c>
      <c r="N5" s="113">
        <v>36</v>
      </c>
      <c r="O5" s="114">
        <f t="shared" ref="O5:O26" si="2">K5/M5</f>
        <v>0.10526315789473684</v>
      </c>
      <c r="P5" s="62" t="s">
        <v>355</v>
      </c>
    </row>
    <row r="6" spans="1:16">
      <c r="A6" s="110" t="s">
        <v>197</v>
      </c>
      <c r="B6" s="110" t="s">
        <v>356</v>
      </c>
      <c r="C6" s="111">
        <v>46029</v>
      </c>
      <c r="D6" s="111">
        <v>46042</v>
      </c>
      <c r="E6" s="110" t="s">
        <v>161</v>
      </c>
      <c r="F6" s="112">
        <v>82</v>
      </c>
      <c r="G6" s="112">
        <v>3</v>
      </c>
      <c r="H6" s="112">
        <v>0</v>
      </c>
      <c r="I6" s="112">
        <v>48</v>
      </c>
      <c r="J6" s="112">
        <v>2</v>
      </c>
      <c r="K6" s="112">
        <v>0</v>
      </c>
      <c r="L6" s="113">
        <f t="shared" si="1"/>
        <v>82</v>
      </c>
      <c r="M6" s="113">
        <f t="shared" si="0"/>
        <v>48</v>
      </c>
      <c r="N6" s="113">
        <v>35</v>
      </c>
      <c r="O6" s="114">
        <f t="shared" si="2"/>
        <v>0</v>
      </c>
      <c r="P6" s="61" t="s">
        <v>357</v>
      </c>
    </row>
    <row r="7" spans="1:16">
      <c r="A7" s="110" t="s">
        <v>198</v>
      </c>
      <c r="B7" s="110" t="s">
        <v>236</v>
      </c>
      <c r="C7" s="111">
        <v>46043</v>
      </c>
      <c r="D7" s="111">
        <v>46056</v>
      </c>
      <c r="E7" s="110" t="s">
        <v>162</v>
      </c>
      <c r="F7" s="112">
        <v>352</v>
      </c>
      <c r="G7" s="112">
        <v>33</v>
      </c>
      <c r="H7" s="112">
        <v>50</v>
      </c>
      <c r="I7" s="112">
        <v>260</v>
      </c>
      <c r="J7" s="112">
        <v>28</v>
      </c>
      <c r="K7" s="112">
        <v>26</v>
      </c>
      <c r="L7" s="113">
        <f t="shared" si="1"/>
        <v>402</v>
      </c>
      <c r="M7" s="113">
        <f t="shared" si="0"/>
        <v>286</v>
      </c>
      <c r="N7" s="113">
        <v>200</v>
      </c>
      <c r="O7" s="114">
        <f t="shared" si="2"/>
        <v>9.0909090909090912E-2</v>
      </c>
      <c r="P7" s="61"/>
    </row>
    <row r="8" spans="1:16">
      <c r="A8" s="110" t="s">
        <v>198</v>
      </c>
      <c r="B8" s="110" t="s">
        <v>239</v>
      </c>
      <c r="C8" s="111">
        <v>46043</v>
      </c>
      <c r="D8" s="111">
        <v>46056</v>
      </c>
      <c r="E8" s="110" t="s">
        <v>162</v>
      </c>
      <c r="F8" s="112">
        <v>63</v>
      </c>
      <c r="G8" s="112">
        <v>5</v>
      </c>
      <c r="H8" s="112">
        <v>2</v>
      </c>
      <c r="I8" s="112">
        <v>56</v>
      </c>
      <c r="J8" s="112">
        <v>9</v>
      </c>
      <c r="K8" s="112">
        <v>2</v>
      </c>
      <c r="L8" s="113">
        <f t="shared" si="1"/>
        <v>65</v>
      </c>
      <c r="M8" s="113">
        <f t="shared" si="0"/>
        <v>58</v>
      </c>
      <c r="N8" s="113">
        <v>45</v>
      </c>
      <c r="O8" s="114">
        <f t="shared" si="2"/>
        <v>3.4482758620689655E-2</v>
      </c>
      <c r="P8" s="61"/>
    </row>
    <row r="9" spans="1:16" ht="87">
      <c r="A9" s="110" t="s">
        <v>198</v>
      </c>
      <c r="B9" s="110" t="s">
        <v>241</v>
      </c>
      <c r="C9" s="111">
        <v>46043</v>
      </c>
      <c r="D9" s="111">
        <v>46056</v>
      </c>
      <c r="E9" s="110" t="s">
        <v>162</v>
      </c>
      <c r="F9" s="112">
        <v>104</v>
      </c>
      <c r="G9" s="112">
        <v>2</v>
      </c>
      <c r="H9" s="112">
        <v>12</v>
      </c>
      <c r="I9" s="112">
        <v>36</v>
      </c>
      <c r="J9" s="112">
        <v>3</v>
      </c>
      <c r="K9" s="112">
        <v>6</v>
      </c>
      <c r="L9" s="113">
        <f t="shared" si="1"/>
        <v>116</v>
      </c>
      <c r="M9" s="113">
        <f t="shared" si="0"/>
        <v>42</v>
      </c>
      <c r="N9" s="113">
        <v>36</v>
      </c>
      <c r="O9" s="114">
        <f t="shared" si="2"/>
        <v>0.14285714285714285</v>
      </c>
      <c r="P9" s="62" t="s">
        <v>358</v>
      </c>
    </row>
    <row r="10" spans="1:16">
      <c r="A10" s="110" t="s">
        <v>198</v>
      </c>
      <c r="B10" s="110" t="s">
        <v>356</v>
      </c>
      <c r="C10" s="111">
        <v>46043</v>
      </c>
      <c r="D10" s="111">
        <v>46056</v>
      </c>
      <c r="E10" s="110" t="s">
        <v>162</v>
      </c>
      <c r="F10" s="112">
        <v>69</v>
      </c>
      <c r="G10" s="112">
        <v>0</v>
      </c>
      <c r="H10" s="112">
        <v>0</v>
      </c>
      <c r="I10" s="112">
        <v>18</v>
      </c>
      <c r="J10" s="112">
        <v>1</v>
      </c>
      <c r="K10" s="112">
        <v>0</v>
      </c>
      <c r="L10" s="113">
        <f t="shared" si="1"/>
        <v>69</v>
      </c>
      <c r="M10" s="113">
        <f t="shared" si="0"/>
        <v>18</v>
      </c>
      <c r="N10" s="113">
        <v>35</v>
      </c>
      <c r="O10" s="114">
        <f t="shared" si="2"/>
        <v>0</v>
      </c>
      <c r="P10" s="61" t="s">
        <v>359</v>
      </c>
    </row>
    <row r="11" spans="1:16">
      <c r="A11" s="110" t="s">
        <v>199</v>
      </c>
      <c r="B11" s="110" t="s">
        <v>236</v>
      </c>
      <c r="C11" s="111">
        <v>46057</v>
      </c>
      <c r="D11" s="111">
        <v>46070</v>
      </c>
      <c r="E11" s="110" t="s">
        <v>162</v>
      </c>
      <c r="F11" s="112">
        <f>319-113</f>
        <v>206</v>
      </c>
      <c r="G11" s="112">
        <v>20</v>
      </c>
      <c r="H11" s="112">
        <f>61+52</f>
        <v>113</v>
      </c>
      <c r="I11" s="112">
        <f>105-52</f>
        <v>53</v>
      </c>
      <c r="J11" s="112">
        <v>2</v>
      </c>
      <c r="K11" s="112">
        <v>52</v>
      </c>
      <c r="L11" s="113">
        <f t="shared" si="1"/>
        <v>319</v>
      </c>
      <c r="M11" s="113">
        <f t="shared" si="0"/>
        <v>105</v>
      </c>
      <c r="N11" s="113">
        <v>200</v>
      </c>
      <c r="O11" s="114">
        <f t="shared" si="2"/>
        <v>0.49523809523809526</v>
      </c>
      <c r="P11" s="61"/>
    </row>
    <row r="12" spans="1:16">
      <c r="A12" s="110" t="s">
        <v>199</v>
      </c>
      <c r="B12" s="110" t="s">
        <v>239</v>
      </c>
      <c r="C12" s="111">
        <v>46057</v>
      </c>
      <c r="D12" s="111">
        <v>46070</v>
      </c>
      <c r="E12" s="110" t="s">
        <v>162</v>
      </c>
      <c r="F12" s="112">
        <v>61</v>
      </c>
      <c r="G12" s="112">
        <v>7</v>
      </c>
      <c r="H12" s="112">
        <v>4</v>
      </c>
      <c r="I12" s="112">
        <v>35</v>
      </c>
      <c r="J12" s="112">
        <v>8</v>
      </c>
      <c r="K12" s="112">
        <v>4</v>
      </c>
      <c r="L12" s="113">
        <f t="shared" si="1"/>
        <v>65</v>
      </c>
      <c r="M12" s="113">
        <f t="shared" si="0"/>
        <v>39</v>
      </c>
      <c r="N12" s="113">
        <v>45</v>
      </c>
      <c r="O12" s="114">
        <f t="shared" si="2"/>
        <v>0.10256410256410256</v>
      </c>
      <c r="P12" s="61" t="s">
        <v>360</v>
      </c>
    </row>
    <row r="13" spans="1:16">
      <c r="A13" s="110" t="s">
        <v>199</v>
      </c>
      <c r="B13" s="110" t="s">
        <v>241</v>
      </c>
      <c r="C13" s="111">
        <v>46057</v>
      </c>
      <c r="D13" s="111">
        <v>46070</v>
      </c>
      <c r="E13" s="110" t="s">
        <v>162</v>
      </c>
      <c r="F13" s="112">
        <v>83</v>
      </c>
      <c r="G13" s="112">
        <v>0</v>
      </c>
      <c r="H13" s="112">
        <v>26</v>
      </c>
      <c r="I13" s="112">
        <v>16</v>
      </c>
      <c r="J13" s="112">
        <v>0</v>
      </c>
      <c r="K13" s="112">
        <v>18</v>
      </c>
      <c r="L13" s="113">
        <f t="shared" si="1"/>
        <v>109</v>
      </c>
      <c r="M13" s="113">
        <f t="shared" si="0"/>
        <v>34</v>
      </c>
      <c r="N13" s="113">
        <v>36</v>
      </c>
      <c r="O13" s="114">
        <f t="shared" si="2"/>
        <v>0.52941176470588236</v>
      </c>
      <c r="P13" s="61" t="s">
        <v>361</v>
      </c>
    </row>
    <row r="14" spans="1:16">
      <c r="A14" s="110" t="s">
        <v>199</v>
      </c>
      <c r="B14" s="110" t="s">
        <v>356</v>
      </c>
      <c r="C14" s="111">
        <v>46057</v>
      </c>
      <c r="D14" s="111">
        <v>46070</v>
      </c>
      <c r="E14" s="110" t="s">
        <v>162</v>
      </c>
      <c r="F14" s="112">
        <f>53+36</f>
        <v>89</v>
      </c>
      <c r="G14" s="112">
        <v>4</v>
      </c>
      <c r="H14" s="112">
        <v>1</v>
      </c>
      <c r="I14" s="112">
        <v>36</v>
      </c>
      <c r="J14" s="112">
        <v>0</v>
      </c>
      <c r="K14" s="112">
        <v>1</v>
      </c>
      <c r="L14" s="113">
        <f t="shared" si="1"/>
        <v>90</v>
      </c>
      <c r="M14" s="113">
        <f t="shared" si="0"/>
        <v>37</v>
      </c>
      <c r="N14" s="113">
        <v>35</v>
      </c>
      <c r="O14" s="114">
        <f t="shared" si="2"/>
        <v>2.7027027027027029E-2</v>
      </c>
      <c r="P14" s="61"/>
    </row>
    <row r="15" spans="1:16">
      <c r="A15" s="110" t="s">
        <v>200</v>
      </c>
      <c r="B15" s="110" t="s">
        <v>236</v>
      </c>
      <c r="C15" s="111">
        <v>46071</v>
      </c>
      <c r="D15" s="111">
        <v>46084</v>
      </c>
      <c r="E15" s="110" t="s">
        <v>163</v>
      </c>
      <c r="F15" s="112">
        <f>454-132</f>
        <v>322</v>
      </c>
      <c r="G15" s="112">
        <v>2</v>
      </c>
      <c r="H15" s="112">
        <f>28+104</f>
        <v>132</v>
      </c>
      <c r="I15" s="112">
        <f>246-104</f>
        <v>142</v>
      </c>
      <c r="J15" s="112">
        <v>19</v>
      </c>
      <c r="K15" s="112">
        <v>104</v>
      </c>
      <c r="L15" s="113">
        <f t="shared" si="1"/>
        <v>454</v>
      </c>
      <c r="M15" s="113">
        <f t="shared" si="0"/>
        <v>246</v>
      </c>
      <c r="N15" s="113">
        <v>200</v>
      </c>
      <c r="O15" s="114">
        <f t="shared" si="2"/>
        <v>0.42276422764227645</v>
      </c>
      <c r="P15" s="61"/>
    </row>
    <row r="16" spans="1:16">
      <c r="A16" s="110" t="s">
        <v>200</v>
      </c>
      <c r="B16" s="110" t="s">
        <v>239</v>
      </c>
      <c r="C16" s="111">
        <v>46071</v>
      </c>
      <c r="D16" s="111">
        <v>46084</v>
      </c>
      <c r="E16" s="110" t="s">
        <v>163</v>
      </c>
      <c r="F16" s="112">
        <v>80</v>
      </c>
      <c r="G16" s="112">
        <v>11</v>
      </c>
      <c r="H16" s="112">
        <v>7</v>
      </c>
      <c r="I16" s="112">
        <v>69</v>
      </c>
      <c r="J16" s="112">
        <v>13</v>
      </c>
      <c r="K16" s="112">
        <v>7</v>
      </c>
      <c r="L16" s="113">
        <f t="shared" si="1"/>
        <v>87</v>
      </c>
      <c r="M16" s="113">
        <f t="shared" si="0"/>
        <v>76</v>
      </c>
      <c r="N16" s="113">
        <v>45</v>
      </c>
      <c r="O16" s="114">
        <f t="shared" si="2"/>
        <v>9.2105263157894732E-2</v>
      </c>
      <c r="P16" s="61"/>
    </row>
    <row r="17" spans="1:16" ht="43.5">
      <c r="A17" s="110" t="s">
        <v>200</v>
      </c>
      <c r="B17" s="110" t="s">
        <v>241</v>
      </c>
      <c r="C17" s="111">
        <v>46071</v>
      </c>
      <c r="D17" s="111">
        <v>46084</v>
      </c>
      <c r="E17" s="110" t="s">
        <v>163</v>
      </c>
      <c r="F17" s="112">
        <v>91</v>
      </c>
      <c r="G17" s="112">
        <v>3</v>
      </c>
      <c r="H17" s="112">
        <v>17</v>
      </c>
      <c r="I17" s="112">
        <v>56</v>
      </c>
      <c r="J17" s="112">
        <v>6</v>
      </c>
      <c r="K17" s="112">
        <v>14</v>
      </c>
      <c r="L17" s="113">
        <f t="shared" si="1"/>
        <v>108</v>
      </c>
      <c r="M17" s="113">
        <f t="shared" si="0"/>
        <v>70</v>
      </c>
      <c r="N17" s="113">
        <v>36</v>
      </c>
      <c r="O17" s="114">
        <f t="shared" si="2"/>
        <v>0.2</v>
      </c>
      <c r="P17" s="62" t="s">
        <v>362</v>
      </c>
    </row>
    <row r="18" spans="1:16">
      <c r="A18" s="110" t="s">
        <v>200</v>
      </c>
      <c r="B18" s="110" t="s">
        <v>356</v>
      </c>
      <c r="C18" s="111">
        <v>46071</v>
      </c>
      <c r="D18" s="111">
        <v>46084</v>
      </c>
      <c r="E18" s="110" t="s">
        <v>163</v>
      </c>
      <c r="F18" s="112">
        <f>67+45</f>
        <v>112</v>
      </c>
      <c r="G18" s="112">
        <v>1</v>
      </c>
      <c r="H18" s="112">
        <v>2</v>
      </c>
      <c r="I18" s="112">
        <v>45</v>
      </c>
      <c r="J18" s="112">
        <v>5</v>
      </c>
      <c r="K18" s="112">
        <v>2</v>
      </c>
      <c r="L18" s="113">
        <f t="shared" si="1"/>
        <v>114</v>
      </c>
      <c r="M18" s="113">
        <f t="shared" si="0"/>
        <v>47</v>
      </c>
      <c r="N18" s="113">
        <v>35</v>
      </c>
      <c r="O18" s="114">
        <f t="shared" si="2"/>
        <v>4.2553191489361701E-2</v>
      </c>
      <c r="P18" s="61" t="s">
        <v>363</v>
      </c>
    </row>
    <row r="19" spans="1:16">
      <c r="A19" s="110" t="s">
        <v>201</v>
      </c>
      <c r="B19" s="110" t="s">
        <v>236</v>
      </c>
      <c r="C19" s="111">
        <v>46085</v>
      </c>
      <c r="D19" s="111">
        <v>46098</v>
      </c>
      <c r="E19" s="110" t="s">
        <v>163</v>
      </c>
      <c r="F19" s="112">
        <v>369</v>
      </c>
      <c r="G19" s="112">
        <v>3</v>
      </c>
      <c r="H19" s="112">
        <v>62</v>
      </c>
      <c r="I19" s="112">
        <v>194</v>
      </c>
      <c r="J19" s="112">
        <v>25</v>
      </c>
      <c r="K19" s="112">
        <v>43</v>
      </c>
      <c r="L19" s="113">
        <f t="shared" si="1"/>
        <v>431</v>
      </c>
      <c r="M19" s="113">
        <f t="shared" si="0"/>
        <v>237</v>
      </c>
      <c r="N19" s="113">
        <v>200</v>
      </c>
      <c r="O19" s="114">
        <f t="shared" si="2"/>
        <v>0.18143459915611815</v>
      </c>
      <c r="P19" s="61"/>
    </row>
    <row r="20" spans="1:16">
      <c r="A20" s="110" t="s">
        <v>201</v>
      </c>
      <c r="B20" s="110" t="s">
        <v>239</v>
      </c>
      <c r="C20" s="111">
        <v>46085</v>
      </c>
      <c r="D20" s="111">
        <v>46098</v>
      </c>
      <c r="E20" s="110" t="s">
        <v>163</v>
      </c>
      <c r="F20" s="112">
        <v>75</v>
      </c>
      <c r="G20" s="112">
        <v>8</v>
      </c>
      <c r="H20" s="112">
        <v>9</v>
      </c>
      <c r="I20" s="112">
        <v>39</v>
      </c>
      <c r="J20" s="112">
        <v>4</v>
      </c>
      <c r="K20" s="112">
        <v>9</v>
      </c>
      <c r="L20" s="113">
        <f t="shared" si="1"/>
        <v>84</v>
      </c>
      <c r="M20" s="113">
        <f t="shared" si="0"/>
        <v>48</v>
      </c>
      <c r="N20" s="113">
        <v>45</v>
      </c>
      <c r="O20" s="114">
        <f t="shared" si="2"/>
        <v>0.1875</v>
      </c>
      <c r="P20" s="61"/>
    </row>
    <row r="21" spans="1:16">
      <c r="A21" s="110" t="s">
        <v>201</v>
      </c>
      <c r="B21" s="110" t="s">
        <v>241</v>
      </c>
      <c r="C21" s="111">
        <v>46085</v>
      </c>
      <c r="D21" s="111">
        <v>46098</v>
      </c>
      <c r="E21" s="110" t="s">
        <v>163</v>
      </c>
      <c r="F21" s="112">
        <v>91</v>
      </c>
      <c r="G21" s="112">
        <v>1</v>
      </c>
      <c r="H21" s="112">
        <v>21</v>
      </c>
      <c r="I21" s="112">
        <v>28</v>
      </c>
      <c r="J21" s="112">
        <v>1</v>
      </c>
      <c r="K21" s="112">
        <v>8</v>
      </c>
      <c r="L21" s="113">
        <f t="shared" si="1"/>
        <v>112</v>
      </c>
      <c r="M21" s="113">
        <f t="shared" si="0"/>
        <v>36</v>
      </c>
      <c r="N21" s="113">
        <v>36</v>
      </c>
      <c r="O21" s="114">
        <f t="shared" si="2"/>
        <v>0.22222222222222221</v>
      </c>
      <c r="P21" s="61"/>
    </row>
    <row r="22" spans="1:16">
      <c r="A22" s="110" t="s">
        <v>201</v>
      </c>
      <c r="B22" s="110" t="s">
        <v>356</v>
      </c>
      <c r="C22" s="111">
        <v>46085</v>
      </c>
      <c r="D22" s="111">
        <v>46098</v>
      </c>
      <c r="E22" s="110" t="s">
        <v>163</v>
      </c>
      <c r="F22" s="112">
        <v>93</v>
      </c>
      <c r="G22" s="112">
        <v>1</v>
      </c>
      <c r="H22" s="112">
        <v>0</v>
      </c>
      <c r="I22" s="112">
        <v>30</v>
      </c>
      <c r="J22" s="112">
        <v>4</v>
      </c>
      <c r="K22" s="112">
        <v>0</v>
      </c>
      <c r="L22" s="113">
        <f t="shared" si="1"/>
        <v>93</v>
      </c>
      <c r="M22" s="113">
        <f t="shared" si="0"/>
        <v>30</v>
      </c>
      <c r="N22" s="113">
        <v>35</v>
      </c>
      <c r="O22" s="114">
        <f t="shared" si="2"/>
        <v>0</v>
      </c>
      <c r="P22" s="61"/>
    </row>
    <row r="23" spans="1:16" ht="29.1">
      <c r="A23" s="110" t="s">
        <v>202</v>
      </c>
      <c r="B23" s="110" t="s">
        <v>236</v>
      </c>
      <c r="C23" s="111">
        <v>46099</v>
      </c>
      <c r="D23" s="111">
        <v>46112</v>
      </c>
      <c r="E23" s="110" t="s">
        <v>163</v>
      </c>
      <c r="F23" s="112">
        <v>281</v>
      </c>
      <c r="G23" s="112">
        <v>19</v>
      </c>
      <c r="H23" s="112">
        <v>43</v>
      </c>
      <c r="I23" s="112">
        <v>73</v>
      </c>
      <c r="J23" s="112">
        <v>11</v>
      </c>
      <c r="K23" s="112">
        <v>25</v>
      </c>
      <c r="L23" s="113">
        <f t="shared" si="1"/>
        <v>324</v>
      </c>
      <c r="M23" s="113">
        <f t="shared" si="0"/>
        <v>98</v>
      </c>
      <c r="N23" s="113">
        <v>200</v>
      </c>
      <c r="O23" s="114">
        <f t="shared" si="2"/>
        <v>0.25510204081632654</v>
      </c>
      <c r="P23" s="62" t="s">
        <v>364</v>
      </c>
    </row>
    <row r="24" spans="1:16">
      <c r="A24" s="110" t="s">
        <v>202</v>
      </c>
      <c r="B24" s="110" t="s">
        <v>239</v>
      </c>
      <c r="C24" s="111">
        <v>46099</v>
      </c>
      <c r="D24" s="111">
        <v>46112</v>
      </c>
      <c r="E24" s="110" t="s">
        <v>163</v>
      </c>
      <c r="F24" s="112">
        <v>93</v>
      </c>
      <c r="G24" s="112">
        <v>7</v>
      </c>
      <c r="H24" s="112">
        <v>3</v>
      </c>
      <c r="I24" s="112">
        <v>49</v>
      </c>
      <c r="J24" s="112">
        <v>7</v>
      </c>
      <c r="K24" s="112">
        <v>2</v>
      </c>
      <c r="L24" s="113">
        <f t="shared" si="1"/>
        <v>96</v>
      </c>
      <c r="M24" s="113">
        <f t="shared" si="0"/>
        <v>51</v>
      </c>
      <c r="N24" s="113">
        <v>45</v>
      </c>
      <c r="O24" s="114">
        <f t="shared" si="2"/>
        <v>3.9215686274509803E-2</v>
      </c>
      <c r="P24" s="62" t="s">
        <v>365</v>
      </c>
    </row>
    <row r="25" spans="1:16" ht="43.5">
      <c r="A25" s="110" t="s">
        <v>202</v>
      </c>
      <c r="B25" s="110" t="s">
        <v>241</v>
      </c>
      <c r="C25" s="111">
        <v>46099</v>
      </c>
      <c r="D25" s="111">
        <v>46112</v>
      </c>
      <c r="E25" s="110" t="s">
        <v>163</v>
      </c>
      <c r="F25" s="112">
        <v>68</v>
      </c>
      <c r="G25" s="112">
        <v>0</v>
      </c>
      <c r="H25" s="112">
        <v>18</v>
      </c>
      <c r="I25" s="112">
        <v>13</v>
      </c>
      <c r="J25" s="112">
        <v>4</v>
      </c>
      <c r="K25" s="112">
        <v>12</v>
      </c>
      <c r="L25" s="113">
        <f t="shared" si="1"/>
        <v>86</v>
      </c>
      <c r="M25" s="113">
        <f t="shared" si="0"/>
        <v>25</v>
      </c>
      <c r="N25" s="113">
        <v>36</v>
      </c>
      <c r="O25" s="114">
        <f t="shared" si="2"/>
        <v>0.48</v>
      </c>
      <c r="P25" s="62" t="s">
        <v>366</v>
      </c>
    </row>
    <row r="26" spans="1:16">
      <c r="A26" s="110" t="s">
        <v>202</v>
      </c>
      <c r="B26" s="110" t="s">
        <v>356</v>
      </c>
      <c r="C26" s="111">
        <v>46099</v>
      </c>
      <c r="D26" s="111">
        <v>46112</v>
      </c>
      <c r="E26" s="110" t="s">
        <v>163</v>
      </c>
      <c r="F26" s="112">
        <v>78</v>
      </c>
      <c r="G26" s="112">
        <v>0</v>
      </c>
      <c r="H26" s="112">
        <v>0</v>
      </c>
      <c r="I26" s="112">
        <v>37</v>
      </c>
      <c r="J26" s="112">
        <v>1</v>
      </c>
      <c r="K26" s="112">
        <v>0</v>
      </c>
      <c r="L26" s="113">
        <f t="shared" si="1"/>
        <v>78</v>
      </c>
      <c r="M26" s="113">
        <f t="shared" si="0"/>
        <v>37</v>
      </c>
      <c r="N26" s="113">
        <v>35</v>
      </c>
      <c r="O26" s="114">
        <f t="shared" si="2"/>
        <v>0</v>
      </c>
      <c r="P26" s="62"/>
    </row>
    <row r="27" spans="1:16">
      <c r="A27" s="110" t="s">
        <v>203</v>
      </c>
      <c r="B27" s="110" t="s">
        <v>236</v>
      </c>
      <c r="C27" s="111">
        <v>46113</v>
      </c>
      <c r="D27" s="111">
        <v>46126</v>
      </c>
      <c r="E27" s="110" t="s">
        <v>164</v>
      </c>
      <c r="F27" s="112">
        <v>308</v>
      </c>
      <c r="G27" s="112">
        <v>8</v>
      </c>
      <c r="H27" s="112">
        <v>38</v>
      </c>
      <c r="I27" s="112">
        <v>115</v>
      </c>
      <c r="J27" s="112">
        <v>45</v>
      </c>
      <c r="K27" s="112">
        <v>26</v>
      </c>
      <c r="L27" s="113">
        <f t="shared" ref="L27:L34" si="3">F27+H27</f>
        <v>346</v>
      </c>
      <c r="M27" s="113">
        <f t="shared" ref="M27:M34" si="4">I27+K27</f>
        <v>141</v>
      </c>
      <c r="N27" s="113">
        <v>200</v>
      </c>
      <c r="O27" s="114">
        <f t="shared" ref="O27:O34" si="5">K27/M27</f>
        <v>0.18439716312056736</v>
      </c>
      <c r="P27" s="61"/>
    </row>
    <row r="28" spans="1:16">
      <c r="A28" s="110" t="s">
        <v>203</v>
      </c>
      <c r="B28" s="110" t="s">
        <v>239</v>
      </c>
      <c r="C28" s="224">
        <v>46113</v>
      </c>
      <c r="D28" s="224">
        <v>46126</v>
      </c>
      <c r="E28" s="110" t="s">
        <v>164</v>
      </c>
      <c r="F28" s="112">
        <v>116</v>
      </c>
      <c r="G28" s="112">
        <v>4</v>
      </c>
      <c r="H28" s="112">
        <v>2</v>
      </c>
      <c r="I28" s="112">
        <v>52</v>
      </c>
      <c r="J28" s="112">
        <v>11</v>
      </c>
      <c r="K28" s="112">
        <v>2</v>
      </c>
      <c r="L28" s="113">
        <f t="shared" si="3"/>
        <v>118</v>
      </c>
      <c r="M28" s="113">
        <f t="shared" si="4"/>
        <v>54</v>
      </c>
      <c r="N28" s="113">
        <v>45</v>
      </c>
      <c r="O28" s="114">
        <f t="shared" si="5"/>
        <v>3.7037037037037035E-2</v>
      </c>
      <c r="P28" s="61"/>
    </row>
    <row r="29" spans="1:16">
      <c r="A29" s="110" t="s">
        <v>203</v>
      </c>
      <c r="B29" s="110" t="s">
        <v>241</v>
      </c>
      <c r="C29" s="224">
        <v>46113</v>
      </c>
      <c r="D29" s="224">
        <v>46126</v>
      </c>
      <c r="E29" s="110" t="s">
        <v>164</v>
      </c>
      <c r="F29" s="112">
        <v>113</v>
      </c>
      <c r="G29" s="112">
        <v>0</v>
      </c>
      <c r="H29" s="112">
        <v>18</v>
      </c>
      <c r="I29" s="112">
        <v>57</v>
      </c>
      <c r="J29" s="112">
        <v>0</v>
      </c>
      <c r="K29" s="112">
        <v>8</v>
      </c>
      <c r="L29" s="113">
        <f t="shared" si="3"/>
        <v>131</v>
      </c>
      <c r="M29" s="113">
        <f t="shared" si="4"/>
        <v>65</v>
      </c>
      <c r="N29" s="113">
        <v>36</v>
      </c>
      <c r="O29" s="114">
        <f t="shared" si="5"/>
        <v>0.12307692307692308</v>
      </c>
      <c r="P29" s="120"/>
    </row>
    <row r="30" spans="1:16">
      <c r="A30" s="110" t="s">
        <v>203</v>
      </c>
      <c r="B30" s="110" t="s">
        <v>356</v>
      </c>
      <c r="C30" s="224">
        <v>46113</v>
      </c>
      <c r="D30" s="224">
        <v>46126</v>
      </c>
      <c r="E30" s="110" t="s">
        <v>164</v>
      </c>
      <c r="F30" s="112">
        <v>97</v>
      </c>
      <c r="G30" s="112">
        <v>0</v>
      </c>
      <c r="H30" s="112">
        <v>1</v>
      </c>
      <c r="I30" s="112">
        <v>46</v>
      </c>
      <c r="J30" s="112">
        <v>1</v>
      </c>
      <c r="K30" s="112">
        <v>1</v>
      </c>
      <c r="L30" s="113">
        <f t="shared" si="3"/>
        <v>98</v>
      </c>
      <c r="M30" s="113">
        <f t="shared" si="4"/>
        <v>47</v>
      </c>
      <c r="N30" s="113">
        <v>35</v>
      </c>
      <c r="O30" s="119">
        <f t="shared" si="5"/>
        <v>2.1276595744680851E-2</v>
      </c>
      <c r="P30" s="106"/>
    </row>
    <row r="31" spans="1:16">
      <c r="A31" s="90" t="s">
        <v>204</v>
      </c>
      <c r="B31" s="110" t="s">
        <v>236</v>
      </c>
      <c r="C31" s="91">
        <v>46127</v>
      </c>
      <c r="D31" s="91">
        <v>46140</v>
      </c>
      <c r="E31" s="110" t="s">
        <v>164</v>
      </c>
      <c r="F31" s="112">
        <v>325</v>
      </c>
      <c r="G31" s="112">
        <v>1</v>
      </c>
      <c r="H31" s="112">
        <v>121</v>
      </c>
      <c r="I31" s="112">
        <v>35</v>
      </c>
      <c r="J31" s="112">
        <v>6</v>
      </c>
      <c r="K31" s="112">
        <v>90</v>
      </c>
      <c r="L31" s="113">
        <f t="shared" si="3"/>
        <v>446</v>
      </c>
      <c r="M31" s="113">
        <f t="shared" si="4"/>
        <v>125</v>
      </c>
      <c r="N31" s="113">
        <v>200</v>
      </c>
      <c r="O31" s="126">
        <f t="shared" si="5"/>
        <v>0.72</v>
      </c>
      <c r="P31" s="106" t="s">
        <v>367</v>
      </c>
    </row>
    <row r="32" spans="1:16">
      <c r="A32" s="90" t="s">
        <v>204</v>
      </c>
      <c r="B32" s="110" t="s">
        <v>239</v>
      </c>
      <c r="C32" s="225">
        <v>46127</v>
      </c>
      <c r="D32" s="225">
        <v>46140</v>
      </c>
      <c r="E32" s="110" t="s">
        <v>164</v>
      </c>
      <c r="F32" s="112">
        <v>143</v>
      </c>
      <c r="G32" s="112">
        <v>11</v>
      </c>
      <c r="H32" s="112">
        <v>13</v>
      </c>
      <c r="I32" s="112">
        <v>47</v>
      </c>
      <c r="J32" s="112">
        <v>4</v>
      </c>
      <c r="K32" s="112">
        <v>8</v>
      </c>
      <c r="L32" s="113">
        <f t="shared" si="3"/>
        <v>156</v>
      </c>
      <c r="M32" s="113">
        <f t="shared" si="4"/>
        <v>55</v>
      </c>
      <c r="N32" s="113">
        <v>45</v>
      </c>
      <c r="O32" s="119">
        <f t="shared" si="5"/>
        <v>0.14545454545454545</v>
      </c>
      <c r="P32" s="162" t="s">
        <v>368</v>
      </c>
    </row>
    <row r="33" spans="1:16">
      <c r="A33" s="90" t="s">
        <v>204</v>
      </c>
      <c r="B33" s="110" t="s">
        <v>241</v>
      </c>
      <c r="C33" s="225">
        <v>46127</v>
      </c>
      <c r="D33" s="225">
        <v>46140</v>
      </c>
      <c r="E33" s="110" t="s">
        <v>164</v>
      </c>
      <c r="F33" s="112">
        <v>112</v>
      </c>
      <c r="G33" s="112">
        <v>0</v>
      </c>
      <c r="H33" s="112">
        <v>10</v>
      </c>
      <c r="I33" s="112">
        <v>24</v>
      </c>
      <c r="J33" s="112">
        <v>1</v>
      </c>
      <c r="K33" s="112">
        <v>3</v>
      </c>
      <c r="L33" s="113">
        <f t="shared" si="3"/>
        <v>122</v>
      </c>
      <c r="M33" s="113">
        <f t="shared" si="4"/>
        <v>27</v>
      </c>
      <c r="N33" s="113">
        <v>36</v>
      </c>
      <c r="O33" s="119">
        <f t="shared" si="5"/>
        <v>0.1111111111111111</v>
      </c>
      <c r="P33" s="106"/>
    </row>
    <row r="34" spans="1:16">
      <c r="A34" s="226" t="s">
        <v>204</v>
      </c>
      <c r="B34" s="110" t="s">
        <v>356</v>
      </c>
      <c r="C34" s="227">
        <v>46127</v>
      </c>
      <c r="D34" s="227">
        <v>46140</v>
      </c>
      <c r="E34" s="228" t="s">
        <v>164</v>
      </c>
      <c r="F34" s="112">
        <v>68</v>
      </c>
      <c r="G34" s="112">
        <v>1</v>
      </c>
      <c r="H34" s="112">
        <v>1</v>
      </c>
      <c r="I34" s="112">
        <v>30</v>
      </c>
      <c r="J34" s="112">
        <v>0</v>
      </c>
      <c r="K34" s="112">
        <v>1</v>
      </c>
      <c r="L34" s="113">
        <f t="shared" si="3"/>
        <v>69</v>
      </c>
      <c r="M34" s="113">
        <f t="shared" si="4"/>
        <v>31</v>
      </c>
      <c r="N34" s="113">
        <v>35</v>
      </c>
      <c r="O34" s="119">
        <f t="shared" si="5"/>
        <v>3.2258064516129031E-2</v>
      </c>
      <c r="P34" s="106"/>
    </row>
    <row r="35" spans="1:16">
      <c r="A35" s="201" t="s">
        <v>207</v>
      </c>
      <c r="B35" s="110" t="s">
        <v>236</v>
      </c>
      <c r="C35" s="202">
        <v>46141</v>
      </c>
      <c r="D35" s="202">
        <v>46154</v>
      </c>
      <c r="E35" s="201" t="s">
        <v>35</v>
      </c>
      <c r="F35" s="203">
        <v>260</v>
      </c>
      <c r="G35" s="112">
        <v>0</v>
      </c>
      <c r="H35" s="112">
        <v>76</v>
      </c>
      <c r="I35" s="112">
        <v>37</v>
      </c>
      <c r="J35" s="112">
        <v>2</v>
      </c>
      <c r="K35" s="112">
        <v>35</v>
      </c>
      <c r="L35" s="113">
        <f>F35+H35</f>
        <v>336</v>
      </c>
      <c r="M35" s="113">
        <f t="shared" ref="M35:M42" si="6">I35+K35</f>
        <v>72</v>
      </c>
      <c r="N35" s="113">
        <v>35</v>
      </c>
      <c r="O35" s="119">
        <f t="shared" ref="O35:O42" si="7">K35/M35</f>
        <v>0.4861111111111111</v>
      </c>
      <c r="P35" s="106"/>
    </row>
    <row r="36" spans="1:16">
      <c r="A36" s="201" t="s">
        <v>207</v>
      </c>
      <c r="B36" s="110" t="s">
        <v>239</v>
      </c>
      <c r="C36" s="202">
        <v>46141</v>
      </c>
      <c r="D36" s="202">
        <v>46154</v>
      </c>
      <c r="E36" s="201" t="s">
        <v>35</v>
      </c>
      <c r="F36" s="203">
        <v>164</v>
      </c>
      <c r="G36" s="112">
        <v>4</v>
      </c>
      <c r="H36" s="112">
        <v>26</v>
      </c>
      <c r="I36" s="112">
        <v>86</v>
      </c>
      <c r="J36" s="112">
        <v>24</v>
      </c>
      <c r="K36" s="112">
        <v>23</v>
      </c>
      <c r="L36" s="113">
        <f>F36+H36</f>
        <v>190</v>
      </c>
      <c r="M36" s="113">
        <f t="shared" si="6"/>
        <v>109</v>
      </c>
      <c r="N36" s="113">
        <v>35</v>
      </c>
      <c r="O36" s="119">
        <f t="shared" si="7"/>
        <v>0.21100917431192662</v>
      </c>
      <c r="P36" s="162" t="s">
        <v>368</v>
      </c>
    </row>
    <row r="37" spans="1:16">
      <c r="A37" s="201" t="s">
        <v>207</v>
      </c>
      <c r="B37" s="110" t="s">
        <v>241</v>
      </c>
      <c r="C37" s="202">
        <v>46141</v>
      </c>
      <c r="D37" s="202">
        <v>46154</v>
      </c>
      <c r="E37" s="201" t="s">
        <v>35</v>
      </c>
      <c r="F37" s="203">
        <v>83</v>
      </c>
      <c r="G37" s="112">
        <v>0</v>
      </c>
      <c r="H37" s="112">
        <v>6</v>
      </c>
      <c r="I37" s="112">
        <v>34</v>
      </c>
      <c r="J37" s="112">
        <v>4</v>
      </c>
      <c r="K37" s="112">
        <v>3</v>
      </c>
      <c r="L37" s="113">
        <f>F37+H37</f>
        <v>89</v>
      </c>
      <c r="M37" s="113">
        <f t="shared" si="6"/>
        <v>37</v>
      </c>
      <c r="N37" s="113">
        <v>35</v>
      </c>
      <c r="O37" s="119">
        <f t="shared" si="7"/>
        <v>8.1081081081081086E-2</v>
      </c>
      <c r="P37" s="106"/>
    </row>
    <row r="38" spans="1:16">
      <c r="A38" s="201" t="s">
        <v>207</v>
      </c>
      <c r="B38" s="110" t="s">
        <v>356</v>
      </c>
      <c r="C38" s="202">
        <v>46141</v>
      </c>
      <c r="D38" s="202">
        <v>46154</v>
      </c>
      <c r="E38" s="201" t="s">
        <v>35</v>
      </c>
      <c r="F38" s="203">
        <v>79</v>
      </c>
      <c r="G38" s="112">
        <v>1</v>
      </c>
      <c r="H38" s="112">
        <v>0</v>
      </c>
      <c r="I38" s="112">
        <v>50</v>
      </c>
      <c r="J38" s="112">
        <v>2</v>
      </c>
      <c r="K38" s="112">
        <v>0</v>
      </c>
      <c r="L38" s="113">
        <f>F38+H38</f>
        <v>79</v>
      </c>
      <c r="M38" s="113">
        <f t="shared" si="6"/>
        <v>50</v>
      </c>
      <c r="N38" s="113">
        <v>35</v>
      </c>
      <c r="O38" s="119">
        <f t="shared" si="7"/>
        <v>0</v>
      </c>
      <c r="P38" s="106"/>
    </row>
    <row r="39" spans="1:16">
      <c r="A39" s="201" t="s">
        <v>209</v>
      </c>
      <c r="B39" s="110" t="s">
        <v>236</v>
      </c>
      <c r="C39" s="202">
        <v>46155</v>
      </c>
      <c r="D39" s="202">
        <v>46168</v>
      </c>
      <c r="E39" s="201" t="s">
        <v>35</v>
      </c>
      <c r="F39" s="203">
        <v>209</v>
      </c>
      <c r="G39" s="203">
        <v>0</v>
      </c>
      <c r="H39" s="203">
        <v>94</v>
      </c>
      <c r="I39" s="203">
        <v>67</v>
      </c>
      <c r="J39" s="203">
        <v>14</v>
      </c>
      <c r="K39" s="203">
        <v>66</v>
      </c>
      <c r="L39" s="113">
        <f>F39+H39</f>
        <v>303</v>
      </c>
      <c r="M39" s="113">
        <f t="shared" si="6"/>
        <v>133</v>
      </c>
      <c r="N39" s="113">
        <v>35</v>
      </c>
      <c r="O39" s="119">
        <f t="shared" si="7"/>
        <v>0.49624060150375937</v>
      </c>
      <c r="P39" s="106" t="s">
        <v>369</v>
      </c>
    </row>
    <row r="40" spans="1:16">
      <c r="A40" s="201" t="s">
        <v>209</v>
      </c>
      <c r="B40" s="201" t="s">
        <v>239</v>
      </c>
      <c r="C40" s="202">
        <v>46155</v>
      </c>
      <c r="D40" s="202">
        <v>46168</v>
      </c>
      <c r="E40" s="201" t="s">
        <v>35</v>
      </c>
      <c r="F40" s="203">
        <v>137</v>
      </c>
      <c r="G40" s="203">
        <v>11</v>
      </c>
      <c r="H40" s="203">
        <v>26</v>
      </c>
      <c r="I40" s="203">
        <v>57</v>
      </c>
      <c r="J40" s="203">
        <v>6</v>
      </c>
      <c r="K40" s="203">
        <v>18</v>
      </c>
      <c r="L40" s="113">
        <f>F40+K40</f>
        <v>155</v>
      </c>
      <c r="M40" s="113">
        <f t="shared" si="6"/>
        <v>75</v>
      </c>
      <c r="N40" s="113">
        <v>35</v>
      </c>
      <c r="O40" s="119">
        <f t="shared" si="7"/>
        <v>0.24</v>
      </c>
      <c r="P40" s="162" t="s">
        <v>368</v>
      </c>
    </row>
    <row r="41" spans="1:16" ht="29.1">
      <c r="A41" s="201" t="s">
        <v>209</v>
      </c>
      <c r="B41" s="201" t="s">
        <v>241</v>
      </c>
      <c r="C41" s="202">
        <v>46155</v>
      </c>
      <c r="D41" s="202">
        <v>46168</v>
      </c>
      <c r="E41" s="201" t="s">
        <v>35</v>
      </c>
      <c r="F41" s="203">
        <v>91</v>
      </c>
      <c r="G41" s="203">
        <v>0</v>
      </c>
      <c r="H41" s="203">
        <v>3</v>
      </c>
      <c r="I41" s="203">
        <v>13</v>
      </c>
      <c r="J41" s="203">
        <v>0</v>
      </c>
      <c r="K41" s="203">
        <v>1</v>
      </c>
      <c r="L41" s="113">
        <f t="shared" ref="L41:L46" si="8">F41+H41</f>
        <v>94</v>
      </c>
      <c r="M41" s="113">
        <f t="shared" si="6"/>
        <v>14</v>
      </c>
      <c r="N41" s="113">
        <v>35</v>
      </c>
      <c r="O41" s="119">
        <f t="shared" si="7"/>
        <v>7.1428571428571425E-2</v>
      </c>
      <c r="P41" s="163" t="s">
        <v>370</v>
      </c>
    </row>
    <row r="42" spans="1:16" ht="43.5">
      <c r="A42" s="201" t="s">
        <v>209</v>
      </c>
      <c r="B42" s="201" t="s">
        <v>356</v>
      </c>
      <c r="C42" s="202">
        <v>46155</v>
      </c>
      <c r="D42" s="202">
        <v>46168</v>
      </c>
      <c r="E42" s="201" t="s">
        <v>35</v>
      </c>
      <c r="F42" s="203">
        <v>48</v>
      </c>
      <c r="G42" s="203">
        <v>0</v>
      </c>
      <c r="H42" s="203">
        <v>5</v>
      </c>
      <c r="I42" s="203">
        <v>10</v>
      </c>
      <c r="J42" s="203">
        <v>0</v>
      </c>
      <c r="K42" s="203">
        <v>5</v>
      </c>
      <c r="L42" s="113">
        <f t="shared" si="8"/>
        <v>53</v>
      </c>
      <c r="M42" s="113">
        <f t="shared" si="6"/>
        <v>15</v>
      </c>
      <c r="N42" s="113">
        <v>35</v>
      </c>
      <c r="O42" s="119">
        <f t="shared" si="7"/>
        <v>0.33333333333333331</v>
      </c>
      <c r="P42" s="188" t="s">
        <v>371</v>
      </c>
    </row>
    <row r="43" spans="1:16">
      <c r="A43" s="201" t="s">
        <v>211</v>
      </c>
      <c r="B43" s="110" t="s">
        <v>236</v>
      </c>
      <c r="C43" s="202">
        <v>46169</v>
      </c>
      <c r="D43" s="202">
        <v>46182</v>
      </c>
      <c r="E43" s="201" t="s">
        <v>165</v>
      </c>
      <c r="F43" s="203">
        <v>128</v>
      </c>
      <c r="G43" s="203">
        <v>4</v>
      </c>
      <c r="H43" s="203">
        <v>100</v>
      </c>
      <c r="I43" s="203">
        <v>58</v>
      </c>
      <c r="J43" s="203">
        <v>10</v>
      </c>
      <c r="K43" s="203">
        <v>83</v>
      </c>
      <c r="L43" s="113">
        <f t="shared" si="8"/>
        <v>228</v>
      </c>
      <c r="M43" s="113">
        <f>I43+K43</f>
        <v>141</v>
      </c>
      <c r="N43" s="113">
        <v>35</v>
      </c>
      <c r="O43" s="119">
        <f>K43/M43</f>
        <v>0.58865248226950351</v>
      </c>
      <c r="P43" s="106" t="s">
        <v>372</v>
      </c>
    </row>
    <row r="44" spans="1:16">
      <c r="A44" s="201" t="s">
        <v>211</v>
      </c>
      <c r="B44" s="201" t="s">
        <v>239</v>
      </c>
      <c r="C44" s="202">
        <v>46169</v>
      </c>
      <c r="D44" s="202">
        <v>46182</v>
      </c>
      <c r="E44" s="201" t="s">
        <v>165</v>
      </c>
      <c r="F44" s="203">
        <v>95</v>
      </c>
      <c r="G44" s="203">
        <v>3</v>
      </c>
      <c r="H44" s="203">
        <v>22</v>
      </c>
      <c r="I44" s="203">
        <v>62</v>
      </c>
      <c r="J44" s="203">
        <v>17</v>
      </c>
      <c r="K44" s="203">
        <v>17</v>
      </c>
      <c r="L44" s="113">
        <f t="shared" si="8"/>
        <v>117</v>
      </c>
      <c r="M44" s="113">
        <f>I44+K44</f>
        <v>79</v>
      </c>
      <c r="N44" s="113">
        <v>35</v>
      </c>
      <c r="O44" s="119">
        <f>K44/M44</f>
        <v>0.21518987341772153</v>
      </c>
      <c r="P44" s="162" t="s">
        <v>368</v>
      </c>
    </row>
    <row r="45" spans="1:16">
      <c r="A45" s="201" t="s">
        <v>211</v>
      </c>
      <c r="B45" s="201" t="s">
        <v>241</v>
      </c>
      <c r="C45" s="202">
        <v>46169</v>
      </c>
      <c r="D45" s="202">
        <v>46182</v>
      </c>
      <c r="E45" s="201" t="s">
        <v>165</v>
      </c>
      <c r="F45" s="203">
        <v>106</v>
      </c>
      <c r="G45" s="203">
        <v>2</v>
      </c>
      <c r="H45" s="203">
        <v>11</v>
      </c>
      <c r="I45" s="203">
        <v>34</v>
      </c>
      <c r="J45" s="203">
        <v>1</v>
      </c>
      <c r="K45" s="203">
        <v>4</v>
      </c>
      <c r="L45" s="113">
        <f t="shared" si="8"/>
        <v>117</v>
      </c>
      <c r="M45" s="113">
        <f>I45+K45</f>
        <v>38</v>
      </c>
      <c r="N45" s="113">
        <v>35</v>
      </c>
      <c r="O45" s="119">
        <f>K45/M45</f>
        <v>0.10526315789473684</v>
      </c>
      <c r="P45" s="106"/>
    </row>
    <row r="46" spans="1:16">
      <c r="A46" s="201" t="s">
        <v>211</v>
      </c>
      <c r="B46" s="201" t="s">
        <v>356</v>
      </c>
      <c r="C46" s="202">
        <v>46169</v>
      </c>
      <c r="D46" s="202">
        <v>46182</v>
      </c>
      <c r="E46" s="201" t="s">
        <v>165</v>
      </c>
      <c r="F46" s="203">
        <v>68</v>
      </c>
      <c r="G46" s="203">
        <v>0</v>
      </c>
      <c r="H46" s="203">
        <v>0</v>
      </c>
      <c r="I46" s="203">
        <v>31</v>
      </c>
      <c r="J46" s="203">
        <v>0</v>
      </c>
      <c r="K46" s="203">
        <v>0</v>
      </c>
      <c r="L46" s="113">
        <f t="shared" si="8"/>
        <v>68</v>
      </c>
      <c r="M46" s="113">
        <f>I46+K46</f>
        <v>31</v>
      </c>
      <c r="N46" s="113">
        <v>35</v>
      </c>
      <c r="O46" s="119">
        <f>K46/M46</f>
        <v>0</v>
      </c>
      <c r="P46" s="106"/>
    </row>
    <row r="47" spans="1:16" ht="15">
      <c r="A47" s="201" t="s">
        <v>213</v>
      </c>
      <c r="B47" s="110" t="s">
        <v>236</v>
      </c>
      <c r="C47" s="202">
        <v>46183</v>
      </c>
      <c r="D47" s="202">
        <v>46196</v>
      </c>
      <c r="E47" s="201" t="s">
        <v>165</v>
      </c>
      <c r="F47" s="203">
        <v>151</v>
      </c>
      <c r="G47" s="203">
        <v>0</v>
      </c>
      <c r="H47" s="203">
        <v>118</v>
      </c>
      <c r="I47" s="203">
        <v>48</v>
      </c>
      <c r="J47" s="203">
        <v>2</v>
      </c>
      <c r="K47" s="203">
        <v>61</v>
      </c>
      <c r="L47" s="113">
        <f>F47+H47</f>
        <v>269</v>
      </c>
      <c r="M47" s="113">
        <f>I47+K47</f>
        <v>109</v>
      </c>
      <c r="N47" s="113">
        <v>35</v>
      </c>
      <c r="O47" s="119">
        <f>K47/M47</f>
        <v>0.55963302752293576</v>
      </c>
      <c r="P47" s="106" t="s">
        <v>372</v>
      </c>
    </row>
    <row r="48" spans="1:16" ht="15">
      <c r="A48" s="201" t="s">
        <v>213</v>
      </c>
      <c r="B48" s="201" t="s">
        <v>239</v>
      </c>
      <c r="C48" s="202">
        <v>46183</v>
      </c>
      <c r="D48" s="202">
        <v>46196</v>
      </c>
      <c r="E48" s="201" t="s">
        <v>165</v>
      </c>
      <c r="F48" s="203">
        <v>86</v>
      </c>
      <c r="G48" s="203">
        <v>0</v>
      </c>
      <c r="H48" s="203">
        <v>13</v>
      </c>
      <c r="I48" s="203">
        <v>24</v>
      </c>
      <c r="J48" s="203">
        <v>2</v>
      </c>
      <c r="K48" s="203">
        <v>9</v>
      </c>
      <c r="L48" s="113">
        <f>F48+H48</f>
        <v>99</v>
      </c>
      <c r="M48" s="113">
        <f>I48+K48</f>
        <v>33</v>
      </c>
      <c r="N48" s="113">
        <v>35</v>
      </c>
      <c r="O48" s="119">
        <f>K48/M48</f>
        <v>0.27272727272727271</v>
      </c>
      <c r="P48" s="162" t="s">
        <v>368</v>
      </c>
    </row>
    <row r="49" spans="1:16" ht="15">
      <c r="A49" s="201" t="s">
        <v>213</v>
      </c>
      <c r="B49" s="201" t="s">
        <v>241</v>
      </c>
      <c r="C49" s="202">
        <v>46183</v>
      </c>
      <c r="D49" s="202">
        <v>46196</v>
      </c>
      <c r="E49" s="201" t="s">
        <v>165</v>
      </c>
      <c r="F49" s="203">
        <v>96</v>
      </c>
      <c r="G49" s="203">
        <v>0</v>
      </c>
      <c r="H49" s="203">
        <v>13</v>
      </c>
      <c r="I49" s="203">
        <v>19</v>
      </c>
      <c r="J49" s="203">
        <v>3</v>
      </c>
      <c r="K49" s="203">
        <v>3</v>
      </c>
      <c r="L49" s="113">
        <f>F49+H49</f>
        <v>109</v>
      </c>
      <c r="M49" s="113">
        <f>I49+K49</f>
        <v>22</v>
      </c>
      <c r="N49" s="113">
        <v>35</v>
      </c>
      <c r="O49" s="119">
        <f>K49/M49</f>
        <v>0.13636363636363635</v>
      </c>
      <c r="P49" s="106" t="s">
        <v>373</v>
      </c>
    </row>
    <row r="50" spans="1:16" ht="15">
      <c r="A50" s="201" t="s">
        <v>213</v>
      </c>
      <c r="B50" s="201" t="s">
        <v>356</v>
      </c>
      <c r="C50" s="202">
        <v>46183</v>
      </c>
      <c r="D50" s="202">
        <v>46196</v>
      </c>
      <c r="E50" s="201" t="s">
        <v>165</v>
      </c>
      <c r="F50" s="203">
        <v>68</v>
      </c>
      <c r="G50" s="203">
        <v>1</v>
      </c>
      <c r="H50" s="203">
        <v>0</v>
      </c>
      <c r="I50" s="203">
        <v>31</v>
      </c>
      <c r="J50" s="203">
        <v>0</v>
      </c>
      <c r="K50" s="203">
        <v>0</v>
      </c>
      <c r="L50" s="113">
        <f>F50+H50</f>
        <v>68</v>
      </c>
      <c r="M50" s="113">
        <f>I50+K50</f>
        <v>31</v>
      </c>
      <c r="N50" s="113">
        <v>35</v>
      </c>
      <c r="O50" s="119">
        <f>K50/M50</f>
        <v>0</v>
      </c>
      <c r="P50" s="106" t="s">
        <v>374</v>
      </c>
    </row>
    <row r="54" spans="1:16">
      <c r="C54" s="61" t="s">
        <v>193</v>
      </c>
      <c r="D54" s="158" t="s">
        <v>236</v>
      </c>
      <c r="E54" s="61" t="s">
        <v>239</v>
      </c>
      <c r="F54" s="61" t="s">
        <v>241</v>
      </c>
      <c r="G54" s="61" t="s">
        <v>356</v>
      </c>
    </row>
    <row r="55" spans="1:16">
      <c r="C55" s="61" t="s">
        <v>197</v>
      </c>
      <c r="D55" s="175" t="s">
        <v>246</v>
      </c>
      <c r="E55" s="114">
        <v>0</v>
      </c>
      <c r="F55" s="114">
        <v>0.10526315789473684</v>
      </c>
      <c r="G55" s="114">
        <v>0</v>
      </c>
    </row>
    <row r="56" spans="1:16">
      <c r="C56" s="61" t="s">
        <v>198</v>
      </c>
      <c r="D56" s="176">
        <v>9.0909090909090912E-2</v>
      </c>
      <c r="E56" s="114">
        <v>3.4482758620689655E-2</v>
      </c>
      <c r="F56" s="114">
        <v>0.14285714285714285</v>
      </c>
      <c r="G56" s="114">
        <v>0</v>
      </c>
    </row>
    <row r="57" spans="1:16">
      <c r="C57" s="61" t="s">
        <v>199</v>
      </c>
      <c r="D57" s="176">
        <v>0.49523809523809526</v>
      </c>
      <c r="E57" s="114">
        <v>0.10256410256410256</v>
      </c>
      <c r="F57" s="114">
        <v>0.52941176470588236</v>
      </c>
      <c r="G57" s="114">
        <v>2.7027027027027029E-2</v>
      </c>
    </row>
    <row r="58" spans="1:16">
      <c r="C58" s="61" t="s">
        <v>200</v>
      </c>
      <c r="D58" s="176">
        <v>0.42276422764227645</v>
      </c>
      <c r="E58" s="114">
        <v>9.2105263157894732E-2</v>
      </c>
      <c r="F58" s="114">
        <v>0.2</v>
      </c>
      <c r="G58" s="114">
        <v>4.2553191489361701E-2</v>
      </c>
    </row>
    <row r="59" spans="1:16">
      <c r="C59" s="61" t="s">
        <v>201</v>
      </c>
      <c r="D59" s="176">
        <v>0.18143459915611815</v>
      </c>
      <c r="E59" s="114">
        <v>0.1875</v>
      </c>
      <c r="F59" s="114">
        <v>0.22222222222222221</v>
      </c>
      <c r="G59" s="114">
        <v>0</v>
      </c>
    </row>
    <row r="60" spans="1:16">
      <c r="C60" s="61" t="s">
        <v>202</v>
      </c>
      <c r="D60" s="176">
        <v>0.25510204081632654</v>
      </c>
      <c r="E60" s="114">
        <v>3.9215686274509803E-2</v>
      </c>
      <c r="F60" s="114">
        <v>0.48</v>
      </c>
      <c r="G60" s="114">
        <v>0</v>
      </c>
    </row>
    <row r="61" spans="1:16">
      <c r="C61" s="61" t="s">
        <v>203</v>
      </c>
      <c r="D61" s="176">
        <v>0.18439716312056736</v>
      </c>
      <c r="E61" s="114">
        <v>3.7037037037037035E-2</v>
      </c>
      <c r="F61" s="114">
        <v>0.12307692307692308</v>
      </c>
      <c r="G61" s="114">
        <v>2.1276595744680851E-2</v>
      </c>
    </row>
    <row r="62" spans="1:16">
      <c r="C62" s="61" t="s">
        <v>204</v>
      </c>
      <c r="D62" s="176">
        <v>0.72</v>
      </c>
      <c r="E62" s="114">
        <v>0.14545454545454545</v>
      </c>
      <c r="F62" s="119">
        <v>0.1111111111111111</v>
      </c>
      <c r="G62" s="114">
        <v>3.2258064516129031E-2</v>
      </c>
    </row>
    <row r="63" spans="1:16">
      <c r="C63" s="61" t="s">
        <v>207</v>
      </c>
      <c r="D63" s="176">
        <v>0.4861111111111111</v>
      </c>
      <c r="E63" s="114">
        <v>0.21100917431192662</v>
      </c>
      <c r="F63" s="119">
        <v>8.1081081081081086E-2</v>
      </c>
      <c r="G63" s="114">
        <v>0</v>
      </c>
    </row>
    <row r="64" spans="1:16">
      <c r="C64" s="61" t="s">
        <v>209</v>
      </c>
      <c r="D64" s="176">
        <v>0.49624060150375937</v>
      </c>
      <c r="E64" s="114">
        <v>0.24</v>
      </c>
      <c r="F64" s="119">
        <v>7.1428571428571425E-2</v>
      </c>
      <c r="G64" s="114">
        <v>0.33333333333333331</v>
      </c>
    </row>
  </sheetData>
  <autoFilter ref="A2:P50" xr:uid="{00000000-0001-0000-0600-000000000000}"/>
  <mergeCells count="1">
    <mergeCell ref="A1:P1"/>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94DA-2CA8-4E05-ACD2-97EA4985C07C}">
  <dimension ref="A1:J49"/>
  <sheetViews>
    <sheetView workbookViewId="0">
      <pane ySplit="1" topLeftCell="A21" activePane="bottomLeft" state="frozen"/>
      <selection pane="bottomLeft" activeCell="G28" sqref="G28"/>
    </sheetView>
  </sheetViews>
  <sheetFormatPr defaultColWidth="13.7109375" defaultRowHeight="14.45"/>
  <cols>
    <col min="9" max="9" width="14.42578125" customWidth="1"/>
    <col min="10" max="10" width="0" hidden="1" customWidth="1"/>
  </cols>
  <sheetData>
    <row r="1" spans="1:10" ht="39.6">
      <c r="A1" s="229" t="s">
        <v>193</v>
      </c>
      <c r="B1" s="229" t="s">
        <v>227</v>
      </c>
      <c r="C1" s="229" t="s">
        <v>350</v>
      </c>
      <c r="D1" s="229" t="s">
        <v>351</v>
      </c>
      <c r="E1" s="229" t="s">
        <v>155</v>
      </c>
      <c r="F1" s="229" t="s">
        <v>375</v>
      </c>
      <c r="G1" s="229" t="s">
        <v>376</v>
      </c>
      <c r="H1" s="229" t="s">
        <v>377</v>
      </c>
      <c r="I1" s="230" t="s">
        <v>195</v>
      </c>
      <c r="J1" s="230" t="s">
        <v>378</v>
      </c>
    </row>
    <row r="2" spans="1:10">
      <c r="A2" s="231" t="s">
        <v>197</v>
      </c>
      <c r="B2" s="231" t="s">
        <v>236</v>
      </c>
      <c r="C2" s="232">
        <v>46029</v>
      </c>
      <c r="D2" s="232">
        <v>46042</v>
      </c>
      <c r="E2" s="231" t="s">
        <v>161</v>
      </c>
      <c r="F2" s="231">
        <v>0</v>
      </c>
      <c r="G2" s="231">
        <v>0</v>
      </c>
      <c r="H2" s="233">
        <v>0</v>
      </c>
      <c r="I2" s="61">
        <f>F2+H2</f>
        <v>0</v>
      </c>
    </row>
    <row r="3" spans="1:10">
      <c r="A3" s="231" t="s">
        <v>197</v>
      </c>
      <c r="B3" s="231" t="s">
        <v>239</v>
      </c>
      <c r="C3" s="232">
        <v>46029</v>
      </c>
      <c r="D3" s="232">
        <v>46042</v>
      </c>
      <c r="E3" s="231" t="s">
        <v>161</v>
      </c>
      <c r="F3" s="231">
        <v>21</v>
      </c>
      <c r="G3" s="231">
        <v>5</v>
      </c>
      <c r="H3" s="233">
        <v>0</v>
      </c>
      <c r="I3" s="61">
        <f t="shared" ref="I3:I25" si="0">F3+H3</f>
        <v>21</v>
      </c>
      <c r="J3" s="234">
        <v>4</v>
      </c>
    </row>
    <row r="4" spans="1:10">
      <c r="A4" s="231" t="s">
        <v>197</v>
      </c>
      <c r="B4" s="231" t="s">
        <v>241</v>
      </c>
      <c r="C4" s="232">
        <v>46029</v>
      </c>
      <c r="D4" s="232">
        <v>46042</v>
      </c>
      <c r="E4" s="231" t="s">
        <v>161</v>
      </c>
      <c r="F4" s="231">
        <v>34</v>
      </c>
      <c r="G4" s="231">
        <v>1</v>
      </c>
      <c r="H4" s="233">
        <v>4</v>
      </c>
      <c r="I4" s="61">
        <f t="shared" si="0"/>
        <v>38</v>
      </c>
    </row>
    <row r="5" spans="1:10">
      <c r="A5" s="231" t="s">
        <v>197</v>
      </c>
      <c r="B5" s="231" t="s">
        <v>356</v>
      </c>
      <c r="C5" s="232">
        <v>46029</v>
      </c>
      <c r="D5" s="232">
        <v>46042</v>
      </c>
      <c r="E5" s="231" t="s">
        <v>161</v>
      </c>
      <c r="F5" s="231">
        <v>25</v>
      </c>
      <c r="G5" s="231">
        <v>2</v>
      </c>
      <c r="H5" s="233">
        <v>0</v>
      </c>
      <c r="I5" s="61">
        <f t="shared" si="0"/>
        <v>25</v>
      </c>
    </row>
    <row r="6" spans="1:10">
      <c r="A6" s="231" t="s">
        <v>198</v>
      </c>
      <c r="B6" s="231" t="s">
        <v>236</v>
      </c>
      <c r="C6" s="232">
        <v>46043</v>
      </c>
      <c r="D6" s="232">
        <v>46056</v>
      </c>
      <c r="E6" s="231" t="s">
        <v>162</v>
      </c>
      <c r="F6" s="231">
        <v>67</v>
      </c>
      <c r="G6" s="231">
        <v>23</v>
      </c>
      <c r="H6" s="233">
        <v>14</v>
      </c>
      <c r="I6" s="61">
        <f t="shared" si="0"/>
        <v>81</v>
      </c>
    </row>
    <row r="7" spans="1:10">
      <c r="A7" s="231" t="s">
        <v>198</v>
      </c>
      <c r="B7" s="231" t="s">
        <v>239</v>
      </c>
      <c r="C7" s="232">
        <v>46043</v>
      </c>
      <c r="D7" s="232">
        <v>46056</v>
      </c>
      <c r="E7" s="231" t="s">
        <v>162</v>
      </c>
      <c r="F7" s="231">
        <v>42</v>
      </c>
      <c r="G7" s="231">
        <v>9</v>
      </c>
      <c r="H7" s="233">
        <v>2</v>
      </c>
      <c r="I7" s="61">
        <f t="shared" si="0"/>
        <v>44</v>
      </c>
      <c r="J7" s="234">
        <v>4</v>
      </c>
    </row>
    <row r="8" spans="1:10">
      <c r="A8" s="231" t="s">
        <v>198</v>
      </c>
      <c r="B8" s="231" t="s">
        <v>241</v>
      </c>
      <c r="C8" s="232">
        <v>46043</v>
      </c>
      <c r="D8" s="232">
        <v>46056</v>
      </c>
      <c r="E8" s="231" t="s">
        <v>162</v>
      </c>
      <c r="F8" s="231">
        <v>36</v>
      </c>
      <c r="G8" s="231">
        <v>3</v>
      </c>
      <c r="H8" s="233">
        <v>6</v>
      </c>
      <c r="I8" s="61">
        <f t="shared" si="0"/>
        <v>42</v>
      </c>
    </row>
    <row r="9" spans="1:10">
      <c r="A9" s="231" t="s">
        <v>198</v>
      </c>
      <c r="B9" s="231" t="s">
        <v>356</v>
      </c>
      <c r="C9" s="232">
        <v>46043</v>
      </c>
      <c r="D9" s="232">
        <v>46056</v>
      </c>
      <c r="E9" s="231" t="s">
        <v>162</v>
      </c>
      <c r="F9" s="231">
        <v>11</v>
      </c>
      <c r="G9" s="231">
        <v>1</v>
      </c>
      <c r="H9" s="233">
        <v>0</v>
      </c>
      <c r="I9" s="61">
        <f t="shared" si="0"/>
        <v>11</v>
      </c>
    </row>
    <row r="10" spans="1:10">
      <c r="A10" s="231" t="s">
        <v>199</v>
      </c>
      <c r="B10" s="231" t="s">
        <v>236</v>
      </c>
      <c r="C10" s="232">
        <v>46057</v>
      </c>
      <c r="D10" s="232">
        <v>46070</v>
      </c>
      <c r="E10" s="231" t="s">
        <v>162</v>
      </c>
      <c r="F10" s="231">
        <v>22</v>
      </c>
      <c r="G10" s="231">
        <v>2</v>
      </c>
      <c r="H10" s="233">
        <v>43</v>
      </c>
      <c r="I10" s="61">
        <f t="shared" si="0"/>
        <v>65</v>
      </c>
    </row>
    <row r="11" spans="1:10">
      <c r="A11" s="231" t="s">
        <v>199</v>
      </c>
      <c r="B11" s="231" t="s">
        <v>239</v>
      </c>
      <c r="C11" s="232">
        <v>46057</v>
      </c>
      <c r="D11" s="232">
        <v>46070</v>
      </c>
      <c r="E11" s="231" t="s">
        <v>162</v>
      </c>
      <c r="F11" s="231">
        <v>25</v>
      </c>
      <c r="G11" s="231">
        <v>8</v>
      </c>
      <c r="H11" s="233">
        <v>4</v>
      </c>
      <c r="I11" s="61">
        <f t="shared" si="0"/>
        <v>29</v>
      </c>
      <c r="J11" s="234">
        <v>4</v>
      </c>
    </row>
    <row r="12" spans="1:10">
      <c r="A12" s="231" t="s">
        <v>199</v>
      </c>
      <c r="B12" s="231" t="s">
        <v>241</v>
      </c>
      <c r="C12" s="232">
        <v>46057</v>
      </c>
      <c r="D12" s="232">
        <v>46070</v>
      </c>
      <c r="E12" s="231" t="s">
        <v>162</v>
      </c>
      <c r="F12" s="231">
        <v>16</v>
      </c>
      <c r="G12" s="231">
        <v>0</v>
      </c>
      <c r="H12" s="233">
        <v>18</v>
      </c>
      <c r="I12" s="61">
        <f t="shared" si="0"/>
        <v>34</v>
      </c>
    </row>
    <row r="13" spans="1:10">
      <c r="A13" s="231" t="s">
        <v>199</v>
      </c>
      <c r="B13" s="231" t="s">
        <v>356</v>
      </c>
      <c r="C13" s="232">
        <v>46057</v>
      </c>
      <c r="D13" s="232">
        <v>46070</v>
      </c>
      <c r="E13" s="231" t="s">
        <v>162</v>
      </c>
      <c r="F13" s="231">
        <v>18</v>
      </c>
      <c r="G13" s="231">
        <v>0</v>
      </c>
      <c r="H13" s="233">
        <v>1</v>
      </c>
      <c r="I13" s="61">
        <f t="shared" si="0"/>
        <v>19</v>
      </c>
    </row>
    <row r="14" spans="1:10">
      <c r="A14" s="231" t="s">
        <v>200</v>
      </c>
      <c r="B14" s="231" t="s">
        <v>236</v>
      </c>
      <c r="C14" s="232">
        <v>46071</v>
      </c>
      <c r="D14" s="232">
        <v>46084</v>
      </c>
      <c r="E14" s="231" t="s">
        <v>163</v>
      </c>
      <c r="F14" s="231">
        <v>92</v>
      </c>
      <c r="G14" s="231">
        <v>13</v>
      </c>
      <c r="H14" s="233">
        <v>85</v>
      </c>
      <c r="I14" s="61">
        <f t="shared" si="0"/>
        <v>177</v>
      </c>
    </row>
    <row r="15" spans="1:10">
      <c r="A15" s="231" t="s">
        <v>200</v>
      </c>
      <c r="B15" s="231" t="s">
        <v>239</v>
      </c>
      <c r="C15" s="232">
        <v>46071</v>
      </c>
      <c r="D15" s="232">
        <v>46084</v>
      </c>
      <c r="E15" s="231" t="s">
        <v>163</v>
      </c>
      <c r="F15" s="231">
        <v>44</v>
      </c>
      <c r="G15" s="231">
        <v>13</v>
      </c>
      <c r="H15" s="233">
        <v>7</v>
      </c>
      <c r="I15" s="61">
        <f t="shared" si="0"/>
        <v>51</v>
      </c>
      <c r="J15" s="234">
        <v>5</v>
      </c>
    </row>
    <row r="16" spans="1:10">
      <c r="A16" s="231" t="s">
        <v>200</v>
      </c>
      <c r="B16" s="231" t="s">
        <v>241</v>
      </c>
      <c r="C16" s="232">
        <v>46071</v>
      </c>
      <c r="D16" s="232">
        <v>46084</v>
      </c>
      <c r="E16" s="231" t="s">
        <v>163</v>
      </c>
      <c r="F16" s="231">
        <v>56</v>
      </c>
      <c r="G16" s="231">
        <v>6</v>
      </c>
      <c r="H16" s="233">
        <v>14</v>
      </c>
      <c r="I16" s="61">
        <f t="shared" si="0"/>
        <v>70</v>
      </c>
    </row>
    <row r="17" spans="1:10">
      <c r="A17" s="231" t="s">
        <v>200</v>
      </c>
      <c r="B17" s="231" t="s">
        <v>356</v>
      </c>
      <c r="C17" s="232">
        <v>46071</v>
      </c>
      <c r="D17" s="232">
        <v>46084</v>
      </c>
      <c r="E17" s="231" t="s">
        <v>163</v>
      </c>
      <c r="F17" s="231">
        <v>23</v>
      </c>
      <c r="G17" s="231">
        <v>5</v>
      </c>
      <c r="H17" s="233">
        <v>2</v>
      </c>
      <c r="I17" s="61">
        <f t="shared" si="0"/>
        <v>25</v>
      </c>
    </row>
    <row r="18" spans="1:10">
      <c r="A18" s="231" t="s">
        <v>201</v>
      </c>
      <c r="B18" s="231" t="s">
        <v>236</v>
      </c>
      <c r="C18" s="232">
        <v>46085</v>
      </c>
      <c r="D18" s="232">
        <v>46098</v>
      </c>
      <c r="E18" s="231" t="s">
        <v>163</v>
      </c>
      <c r="F18" s="231">
        <v>63</v>
      </c>
      <c r="G18" s="231">
        <v>12</v>
      </c>
      <c r="H18" s="233">
        <v>20</v>
      </c>
      <c r="I18" s="61">
        <f t="shared" si="0"/>
        <v>83</v>
      </c>
    </row>
    <row r="19" spans="1:10">
      <c r="A19" s="231" t="s">
        <v>201</v>
      </c>
      <c r="B19" s="231" t="s">
        <v>239</v>
      </c>
      <c r="C19" s="232">
        <v>46085</v>
      </c>
      <c r="D19" s="232">
        <v>46098</v>
      </c>
      <c r="E19" s="231" t="s">
        <v>163</v>
      </c>
      <c r="F19" s="231">
        <v>22</v>
      </c>
      <c r="G19" s="231">
        <v>4</v>
      </c>
      <c r="H19" s="233">
        <v>9</v>
      </c>
      <c r="I19" s="61">
        <f t="shared" si="0"/>
        <v>31</v>
      </c>
      <c r="J19" s="234">
        <v>5</v>
      </c>
    </row>
    <row r="20" spans="1:10">
      <c r="A20" s="231" t="s">
        <v>201</v>
      </c>
      <c r="B20" s="231" t="s">
        <v>241</v>
      </c>
      <c r="C20" s="232">
        <v>46085</v>
      </c>
      <c r="D20" s="232">
        <v>46098</v>
      </c>
      <c r="E20" s="231" t="s">
        <v>163</v>
      </c>
      <c r="F20" s="231">
        <v>28</v>
      </c>
      <c r="G20" s="231">
        <v>1</v>
      </c>
      <c r="H20" s="233">
        <v>8</v>
      </c>
      <c r="I20" s="61">
        <f t="shared" si="0"/>
        <v>36</v>
      </c>
    </row>
    <row r="21" spans="1:10">
      <c r="A21" s="235" t="s">
        <v>201</v>
      </c>
      <c r="B21" s="235" t="s">
        <v>356</v>
      </c>
      <c r="C21" s="236">
        <v>46085</v>
      </c>
      <c r="D21" s="236">
        <v>46098</v>
      </c>
      <c r="E21" s="235" t="s">
        <v>163</v>
      </c>
      <c r="F21" s="235">
        <v>14</v>
      </c>
      <c r="G21" s="235">
        <v>4</v>
      </c>
      <c r="H21" s="237">
        <v>0</v>
      </c>
      <c r="I21" s="61">
        <f t="shared" si="0"/>
        <v>14</v>
      </c>
    </row>
    <row r="22" spans="1:10">
      <c r="A22" s="238" t="s">
        <v>202</v>
      </c>
      <c r="B22" s="238" t="s">
        <v>236</v>
      </c>
      <c r="C22" s="239">
        <v>46099</v>
      </c>
      <c r="D22" s="239">
        <v>46112</v>
      </c>
      <c r="E22" s="238" t="s">
        <v>163</v>
      </c>
      <c r="F22" s="240">
        <v>38</v>
      </c>
      <c r="G22" s="240">
        <v>8</v>
      </c>
      <c r="H22" s="240">
        <v>7</v>
      </c>
      <c r="I22" s="61">
        <f t="shared" si="0"/>
        <v>45</v>
      </c>
    </row>
    <row r="23" spans="1:10">
      <c r="A23" s="238" t="s">
        <v>202</v>
      </c>
      <c r="B23" s="238" t="s">
        <v>239</v>
      </c>
      <c r="C23" s="239">
        <v>46099</v>
      </c>
      <c r="D23" s="239">
        <v>46112</v>
      </c>
      <c r="E23" s="238" t="s">
        <v>163</v>
      </c>
      <c r="F23" s="240">
        <v>13</v>
      </c>
      <c r="G23" s="240">
        <v>7</v>
      </c>
      <c r="H23" s="240">
        <v>1</v>
      </c>
      <c r="I23" s="61">
        <f t="shared" si="0"/>
        <v>14</v>
      </c>
      <c r="J23" s="241">
        <v>5</v>
      </c>
    </row>
    <row r="24" spans="1:10">
      <c r="A24" s="238" t="s">
        <v>202</v>
      </c>
      <c r="B24" s="238" t="s">
        <v>241</v>
      </c>
      <c r="C24" s="239">
        <v>46099</v>
      </c>
      <c r="D24" s="239">
        <v>46112</v>
      </c>
      <c r="E24" s="238" t="s">
        <v>163</v>
      </c>
      <c r="F24" s="240">
        <v>13</v>
      </c>
      <c r="G24" s="240">
        <v>4</v>
      </c>
      <c r="H24" s="240">
        <v>12</v>
      </c>
      <c r="I24" s="61">
        <f t="shared" si="0"/>
        <v>25</v>
      </c>
    </row>
    <row r="25" spans="1:10">
      <c r="A25" s="238" t="s">
        <v>202</v>
      </c>
      <c r="B25" s="205" t="s">
        <v>356</v>
      </c>
      <c r="C25" s="239">
        <v>46099</v>
      </c>
      <c r="D25" s="239">
        <v>46112</v>
      </c>
      <c r="E25" s="238" t="s">
        <v>163</v>
      </c>
      <c r="F25" s="240">
        <v>29</v>
      </c>
      <c r="G25" s="240">
        <v>1</v>
      </c>
      <c r="H25" s="240">
        <v>0</v>
      </c>
      <c r="I25" s="61">
        <f t="shared" si="0"/>
        <v>29</v>
      </c>
    </row>
    <row r="26" spans="1:10">
      <c r="A26" s="242" t="s">
        <v>203</v>
      </c>
      <c r="B26" s="243" t="s">
        <v>236</v>
      </c>
      <c r="C26" s="225">
        <v>46113</v>
      </c>
      <c r="D26" s="225">
        <v>46126</v>
      </c>
      <c r="E26" s="242" t="s">
        <v>164</v>
      </c>
      <c r="F26" s="231">
        <v>83</v>
      </c>
      <c r="G26" s="231">
        <v>27</v>
      </c>
      <c r="H26" s="231">
        <v>11</v>
      </c>
      <c r="I26" s="106">
        <f t="shared" ref="I26:I33" si="1">F26+H26</f>
        <v>94</v>
      </c>
    </row>
    <row r="27" spans="1:10">
      <c r="A27" s="242" t="s">
        <v>203</v>
      </c>
      <c r="B27" s="243" t="s">
        <v>239</v>
      </c>
      <c r="C27" s="225">
        <v>46113</v>
      </c>
      <c r="D27" s="225">
        <v>46126</v>
      </c>
      <c r="E27" s="242" t="s">
        <v>164</v>
      </c>
      <c r="F27" s="231">
        <v>38</v>
      </c>
      <c r="G27" s="231">
        <v>11</v>
      </c>
      <c r="H27" s="231">
        <v>2</v>
      </c>
      <c r="I27" s="106">
        <f t="shared" si="1"/>
        <v>40</v>
      </c>
    </row>
    <row r="28" spans="1:10">
      <c r="A28" s="242" t="s">
        <v>203</v>
      </c>
      <c r="B28" s="243" t="s">
        <v>241</v>
      </c>
      <c r="C28" s="225">
        <v>46113</v>
      </c>
      <c r="D28" s="225">
        <v>46126</v>
      </c>
      <c r="E28" s="242" t="s">
        <v>164</v>
      </c>
      <c r="F28" s="231">
        <v>57</v>
      </c>
      <c r="G28" s="231">
        <v>0</v>
      </c>
      <c r="H28" s="231">
        <v>8</v>
      </c>
      <c r="I28" s="106">
        <f t="shared" si="1"/>
        <v>65</v>
      </c>
    </row>
    <row r="29" spans="1:10">
      <c r="A29" s="242" t="s">
        <v>203</v>
      </c>
      <c r="B29" s="243" t="s">
        <v>356</v>
      </c>
      <c r="C29" s="225">
        <v>46113</v>
      </c>
      <c r="D29" s="225">
        <v>46126</v>
      </c>
      <c r="E29" s="242" t="s">
        <v>164</v>
      </c>
      <c r="F29" s="231">
        <v>20</v>
      </c>
      <c r="G29" s="231">
        <v>1</v>
      </c>
      <c r="H29" s="231">
        <v>1</v>
      </c>
      <c r="I29" s="106">
        <f t="shared" si="1"/>
        <v>21</v>
      </c>
    </row>
    <row r="30" spans="1:10">
      <c r="A30" s="242" t="s">
        <v>204</v>
      </c>
      <c r="B30" s="243" t="s">
        <v>236</v>
      </c>
      <c r="C30" s="225">
        <v>46127</v>
      </c>
      <c r="D30" s="225">
        <v>46140</v>
      </c>
      <c r="E30" s="242" t="s">
        <v>164</v>
      </c>
      <c r="F30" s="240">
        <v>11</v>
      </c>
      <c r="G30" s="240">
        <v>0</v>
      </c>
      <c r="H30" s="240">
        <v>46</v>
      </c>
      <c r="I30" s="106">
        <f t="shared" si="1"/>
        <v>57</v>
      </c>
    </row>
    <row r="31" spans="1:10">
      <c r="A31" s="242" t="s">
        <v>204</v>
      </c>
      <c r="B31" s="243" t="s">
        <v>239</v>
      </c>
      <c r="C31" s="225">
        <v>46127</v>
      </c>
      <c r="D31" s="225">
        <v>46140</v>
      </c>
      <c r="E31" s="242" t="s">
        <v>164</v>
      </c>
      <c r="F31" s="240">
        <v>35</v>
      </c>
      <c r="G31" s="240">
        <v>4</v>
      </c>
      <c r="H31" s="240">
        <v>8</v>
      </c>
      <c r="I31" s="106">
        <f t="shared" si="1"/>
        <v>43</v>
      </c>
    </row>
    <row r="32" spans="1:10">
      <c r="A32" s="242" t="s">
        <v>204</v>
      </c>
      <c r="B32" s="243" t="s">
        <v>241</v>
      </c>
      <c r="C32" s="225">
        <v>46127</v>
      </c>
      <c r="D32" s="225">
        <v>46140</v>
      </c>
      <c r="E32" s="242" t="s">
        <v>164</v>
      </c>
      <c r="F32" s="240">
        <v>24</v>
      </c>
      <c r="G32" s="240">
        <v>1</v>
      </c>
      <c r="H32" s="240">
        <v>3</v>
      </c>
      <c r="I32" s="106">
        <f t="shared" si="1"/>
        <v>27</v>
      </c>
    </row>
    <row r="33" spans="1:9">
      <c r="A33" s="242" t="s">
        <v>204</v>
      </c>
      <c r="B33" s="243" t="s">
        <v>356</v>
      </c>
      <c r="C33" s="225">
        <v>46127</v>
      </c>
      <c r="D33" s="225">
        <v>46140</v>
      </c>
      <c r="E33" s="242" t="s">
        <v>164</v>
      </c>
      <c r="F33" s="240">
        <v>14</v>
      </c>
      <c r="G33" s="240">
        <v>0</v>
      </c>
      <c r="H33" s="240">
        <v>0</v>
      </c>
      <c r="I33" s="106">
        <f t="shared" si="1"/>
        <v>14</v>
      </c>
    </row>
    <row r="34" spans="1:9">
      <c r="A34" s="204" t="s">
        <v>207</v>
      </c>
      <c r="B34" s="244" t="s">
        <v>236</v>
      </c>
      <c r="C34" s="206">
        <v>46141</v>
      </c>
      <c r="D34" s="206">
        <v>46154</v>
      </c>
      <c r="E34" s="204" t="s">
        <v>35</v>
      </c>
      <c r="F34" s="240">
        <v>14</v>
      </c>
      <c r="G34" s="240">
        <v>0</v>
      </c>
      <c r="H34" s="240">
        <v>15</v>
      </c>
      <c r="I34" s="106">
        <f t="shared" ref="I34:I41" si="2">F34+H34</f>
        <v>29</v>
      </c>
    </row>
    <row r="35" spans="1:9">
      <c r="A35" s="204" t="s">
        <v>207</v>
      </c>
      <c r="B35" s="244" t="s">
        <v>239</v>
      </c>
      <c r="C35" s="206">
        <v>46141</v>
      </c>
      <c r="D35" s="206">
        <v>46154</v>
      </c>
      <c r="E35" s="204" t="s">
        <v>35</v>
      </c>
      <c r="F35" s="240">
        <v>59</v>
      </c>
      <c r="G35" s="240">
        <v>24</v>
      </c>
      <c r="H35" s="240">
        <v>23</v>
      </c>
      <c r="I35" s="106">
        <f t="shared" si="2"/>
        <v>82</v>
      </c>
    </row>
    <row r="36" spans="1:9">
      <c r="A36" s="204" t="s">
        <v>207</v>
      </c>
      <c r="B36" s="244" t="s">
        <v>241</v>
      </c>
      <c r="C36" s="206">
        <v>46141</v>
      </c>
      <c r="D36" s="206">
        <v>46154</v>
      </c>
      <c r="E36" s="204" t="s">
        <v>35</v>
      </c>
      <c r="F36" s="240">
        <v>34</v>
      </c>
      <c r="G36" s="240">
        <v>4</v>
      </c>
      <c r="H36" s="240">
        <v>3</v>
      </c>
      <c r="I36" s="106">
        <f t="shared" si="2"/>
        <v>37</v>
      </c>
    </row>
    <row r="37" spans="1:9">
      <c r="A37" s="204" t="s">
        <v>207</v>
      </c>
      <c r="B37" s="244" t="s">
        <v>356</v>
      </c>
      <c r="C37" s="206">
        <v>46141</v>
      </c>
      <c r="D37" s="206">
        <v>46154</v>
      </c>
      <c r="E37" s="204" t="s">
        <v>35</v>
      </c>
      <c r="F37" s="240">
        <v>21</v>
      </c>
      <c r="G37" s="240">
        <v>2</v>
      </c>
      <c r="H37" s="240">
        <v>0</v>
      </c>
      <c r="I37" s="106">
        <f t="shared" si="2"/>
        <v>21</v>
      </c>
    </row>
    <row r="38" spans="1:9">
      <c r="A38" s="204" t="s">
        <v>209</v>
      </c>
      <c r="B38" s="244" t="s">
        <v>236</v>
      </c>
      <c r="C38" s="206">
        <v>46155</v>
      </c>
      <c r="D38" s="206">
        <v>46168</v>
      </c>
      <c r="E38" s="204" t="s">
        <v>35</v>
      </c>
      <c r="F38" s="207">
        <v>40</v>
      </c>
      <c r="G38" s="207">
        <v>14</v>
      </c>
      <c r="H38" s="207">
        <v>27</v>
      </c>
      <c r="I38" s="106">
        <f t="shared" si="2"/>
        <v>67</v>
      </c>
    </row>
    <row r="39" spans="1:9">
      <c r="A39" s="204" t="s">
        <v>209</v>
      </c>
      <c r="B39" s="244" t="s">
        <v>239</v>
      </c>
      <c r="C39" s="206">
        <v>46155</v>
      </c>
      <c r="D39" s="206">
        <v>46168</v>
      </c>
      <c r="E39" s="204" t="s">
        <v>35</v>
      </c>
      <c r="F39" s="207">
        <v>57</v>
      </c>
      <c r="G39" s="207">
        <v>6</v>
      </c>
      <c r="H39" s="207">
        <v>16</v>
      </c>
      <c r="I39" s="106">
        <f t="shared" si="2"/>
        <v>73</v>
      </c>
    </row>
    <row r="40" spans="1:9">
      <c r="A40" s="204" t="s">
        <v>209</v>
      </c>
      <c r="B40" s="244" t="s">
        <v>241</v>
      </c>
      <c r="C40" s="206">
        <v>46155</v>
      </c>
      <c r="D40" s="206">
        <v>46168</v>
      </c>
      <c r="E40" s="204" t="s">
        <v>35</v>
      </c>
      <c r="F40" s="207">
        <v>13</v>
      </c>
      <c r="G40" s="207">
        <v>0</v>
      </c>
      <c r="H40" s="207">
        <v>1</v>
      </c>
      <c r="I40" s="106">
        <f t="shared" si="2"/>
        <v>14</v>
      </c>
    </row>
    <row r="41" spans="1:9">
      <c r="A41" s="204" t="s">
        <v>209</v>
      </c>
      <c r="B41" s="244" t="s">
        <v>356</v>
      </c>
      <c r="C41" s="206">
        <v>46155</v>
      </c>
      <c r="D41" s="206">
        <v>46168</v>
      </c>
      <c r="E41" s="204" t="s">
        <v>35</v>
      </c>
      <c r="F41" s="207">
        <v>4</v>
      </c>
      <c r="G41" s="207">
        <v>0</v>
      </c>
      <c r="H41" s="207">
        <v>4</v>
      </c>
      <c r="I41" s="106">
        <f t="shared" si="2"/>
        <v>8</v>
      </c>
    </row>
    <row r="42" spans="1:9">
      <c r="A42" s="204" t="s">
        <v>211</v>
      </c>
      <c r="B42" s="205" t="s">
        <v>236</v>
      </c>
      <c r="C42" s="206">
        <v>46169</v>
      </c>
      <c r="D42" s="206">
        <v>46182</v>
      </c>
      <c r="E42" s="204" t="s">
        <v>165</v>
      </c>
      <c r="F42" s="207">
        <v>32</v>
      </c>
      <c r="G42" s="207">
        <v>7</v>
      </c>
      <c r="H42" s="207">
        <v>62</v>
      </c>
      <c r="I42" s="106">
        <f>F42+H42</f>
        <v>94</v>
      </c>
    </row>
    <row r="43" spans="1:9">
      <c r="A43" s="204" t="s">
        <v>211</v>
      </c>
      <c r="B43" s="204" t="s">
        <v>239</v>
      </c>
      <c r="C43" s="206">
        <v>46169</v>
      </c>
      <c r="D43" s="206">
        <v>46182</v>
      </c>
      <c r="E43" s="204" t="s">
        <v>165</v>
      </c>
      <c r="F43" s="207">
        <v>53</v>
      </c>
      <c r="G43" s="207">
        <v>17</v>
      </c>
      <c r="H43" s="207">
        <v>17</v>
      </c>
      <c r="I43" s="106">
        <f>F43+H43</f>
        <v>70</v>
      </c>
    </row>
    <row r="44" spans="1:9">
      <c r="A44" s="204" t="s">
        <v>211</v>
      </c>
      <c r="B44" s="204" t="s">
        <v>241</v>
      </c>
      <c r="C44" s="206">
        <v>46169</v>
      </c>
      <c r="D44" s="206">
        <v>46182</v>
      </c>
      <c r="E44" s="204" t="s">
        <v>165</v>
      </c>
      <c r="F44" s="207">
        <v>34</v>
      </c>
      <c r="G44" s="207">
        <v>1</v>
      </c>
      <c r="H44" s="207">
        <v>4</v>
      </c>
      <c r="I44" s="106">
        <f>F44+H44</f>
        <v>38</v>
      </c>
    </row>
    <row r="45" spans="1:9">
      <c r="A45" s="204" t="s">
        <v>211</v>
      </c>
      <c r="B45" s="204" t="s">
        <v>356</v>
      </c>
      <c r="C45" s="206">
        <v>46169</v>
      </c>
      <c r="D45" s="206">
        <v>46182</v>
      </c>
      <c r="E45" s="204" t="s">
        <v>165</v>
      </c>
      <c r="F45" s="207">
        <v>13</v>
      </c>
      <c r="G45" s="207">
        <v>0</v>
      </c>
      <c r="H45" s="207">
        <v>0</v>
      </c>
      <c r="I45" s="106">
        <f>F45+H45</f>
        <v>13</v>
      </c>
    </row>
    <row r="46" spans="1:9">
      <c r="A46" s="204" t="s">
        <v>213</v>
      </c>
      <c r="B46" s="205" t="s">
        <v>236</v>
      </c>
      <c r="C46" s="206">
        <v>46183</v>
      </c>
      <c r="D46" s="206">
        <v>46196</v>
      </c>
      <c r="E46" s="204" t="s">
        <v>165</v>
      </c>
      <c r="F46" s="207">
        <v>25</v>
      </c>
      <c r="G46" s="207">
        <v>2</v>
      </c>
      <c r="H46" s="207">
        <v>38</v>
      </c>
      <c r="I46" s="106">
        <f>F46+H46</f>
        <v>63</v>
      </c>
    </row>
    <row r="47" spans="1:9">
      <c r="A47" s="204" t="s">
        <v>213</v>
      </c>
      <c r="B47" s="204" t="s">
        <v>239</v>
      </c>
      <c r="C47" s="206">
        <v>46183</v>
      </c>
      <c r="D47" s="206">
        <v>46196</v>
      </c>
      <c r="E47" s="204" t="s">
        <v>165</v>
      </c>
      <c r="F47" s="207">
        <v>19</v>
      </c>
      <c r="G47" s="207">
        <v>2</v>
      </c>
      <c r="H47" s="207">
        <v>9</v>
      </c>
      <c r="I47" s="106">
        <f>F47+H47</f>
        <v>28</v>
      </c>
    </row>
    <row r="48" spans="1:9">
      <c r="A48" s="204" t="s">
        <v>213</v>
      </c>
      <c r="B48" s="204" t="s">
        <v>241</v>
      </c>
      <c r="C48" s="206">
        <v>46183</v>
      </c>
      <c r="D48" s="206">
        <v>46196</v>
      </c>
      <c r="E48" s="204" t="s">
        <v>165</v>
      </c>
      <c r="F48" s="207">
        <v>19</v>
      </c>
      <c r="G48" s="207">
        <v>3</v>
      </c>
      <c r="H48" s="207">
        <v>3</v>
      </c>
      <c r="I48" s="106">
        <f>F48+H48</f>
        <v>22</v>
      </c>
    </row>
    <row r="49" spans="1:9">
      <c r="A49" s="204" t="s">
        <v>213</v>
      </c>
      <c r="B49" s="204" t="s">
        <v>356</v>
      </c>
      <c r="C49" s="206">
        <v>46183</v>
      </c>
      <c r="D49" s="206">
        <v>46196</v>
      </c>
      <c r="E49" s="204" t="s">
        <v>165</v>
      </c>
      <c r="F49" s="207">
        <v>22</v>
      </c>
      <c r="G49" s="207">
        <v>0</v>
      </c>
      <c r="H49" s="207">
        <v>0</v>
      </c>
      <c r="I49" s="106">
        <f>F49+H49</f>
        <v>22</v>
      </c>
    </row>
  </sheetData>
  <autoFilter ref="A1:I25" xr:uid="{DFC694DA-2CA8-4E05-ACD2-97EA4985C07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1EA7-39D2-4119-93FE-E602BA4D1A59}">
  <dimension ref="A1:M54"/>
  <sheetViews>
    <sheetView topLeftCell="A10" workbookViewId="0">
      <selection activeCell="J37" sqref="J37"/>
    </sheetView>
  </sheetViews>
  <sheetFormatPr defaultColWidth="10.5703125" defaultRowHeight="14.45"/>
  <cols>
    <col min="1" max="1" width="12.85546875" style="54" bestFit="1" customWidth="1"/>
    <col min="2" max="2" width="11.7109375" style="54" bestFit="1" customWidth="1"/>
    <col min="3" max="3" width="12.7109375" style="54" bestFit="1" customWidth="1"/>
    <col min="4" max="4" width="12.140625" style="54" customWidth="1"/>
    <col min="5" max="5" width="9" style="54" bestFit="1" customWidth="1"/>
    <col min="6" max="6" width="13.140625" style="54" hidden="1" customWidth="1"/>
    <col min="7" max="7" width="25.140625" style="54" customWidth="1"/>
    <col min="8" max="8" width="28.5703125" style="54" bestFit="1" customWidth="1"/>
    <col min="9" max="9" width="24" style="54" bestFit="1" customWidth="1"/>
    <col min="10" max="10" width="13.140625" style="54" bestFit="1" customWidth="1"/>
    <col min="11" max="11" width="12.5703125" style="54" hidden="1" customWidth="1"/>
    <col min="12" max="12" width="10.42578125" style="54" hidden="1" customWidth="1"/>
    <col min="13" max="13" width="8.42578125" style="54" hidden="1" customWidth="1"/>
    <col min="14" max="14" width="10.5703125" style="54"/>
    <col min="15" max="15" width="36.28515625" style="54" bestFit="1" customWidth="1"/>
    <col min="16" max="16384" width="10.5703125" style="54"/>
  </cols>
  <sheetData>
    <row r="1" spans="1:13" ht="39">
      <c r="A1" s="1" t="s">
        <v>193</v>
      </c>
      <c r="B1" s="1" t="s">
        <v>350</v>
      </c>
      <c r="C1" s="1" t="s">
        <v>351</v>
      </c>
      <c r="D1" s="1" t="s">
        <v>227</v>
      </c>
      <c r="E1" s="1" t="s">
        <v>155</v>
      </c>
      <c r="F1" s="1" t="s">
        <v>379</v>
      </c>
      <c r="G1" s="1" t="s">
        <v>380</v>
      </c>
      <c r="H1" s="1" t="s">
        <v>381</v>
      </c>
      <c r="I1" s="1" t="s">
        <v>382</v>
      </c>
      <c r="J1" s="1" t="s">
        <v>276</v>
      </c>
      <c r="K1" s="1" t="s">
        <v>277</v>
      </c>
      <c r="L1" s="1" t="s">
        <v>278</v>
      </c>
      <c r="M1" s="1" t="s">
        <v>279</v>
      </c>
    </row>
    <row r="2" spans="1:13">
      <c r="A2" s="55" t="s">
        <v>197</v>
      </c>
      <c r="B2" s="38">
        <v>46029</v>
      </c>
      <c r="C2" s="38">
        <v>46042</v>
      </c>
      <c r="D2" s="122" t="s">
        <v>239</v>
      </c>
      <c r="E2" s="12" t="s">
        <v>161</v>
      </c>
      <c r="F2" s="12"/>
      <c r="G2" s="14">
        <v>4.3</v>
      </c>
      <c r="H2" s="14">
        <v>0.6</v>
      </c>
      <c r="I2" s="14">
        <v>0.01</v>
      </c>
      <c r="J2" s="14">
        <v>5.3</v>
      </c>
      <c r="K2" s="15">
        <v>5.8</v>
      </c>
      <c r="L2" s="16">
        <f t="shared" ref="L2:L7" si="0">IFERROR(IF(J2="","",J2-K2),"")</f>
        <v>-0.5</v>
      </c>
      <c r="M2" s="5">
        <f t="shared" ref="M2:M5" si="1">IFERROR(IF(J2="","",J2/K2-1),"")</f>
        <v>-8.6206896551724088E-2</v>
      </c>
    </row>
    <row r="3" spans="1:13">
      <c r="A3" s="55" t="s">
        <v>198</v>
      </c>
      <c r="B3" s="38">
        <v>46043</v>
      </c>
      <c r="C3" s="38">
        <v>46056</v>
      </c>
      <c r="D3" s="122" t="s">
        <v>239</v>
      </c>
      <c r="E3" s="12" t="s">
        <v>162</v>
      </c>
      <c r="F3" s="12"/>
      <c r="G3" s="14">
        <v>6.2</v>
      </c>
      <c r="H3" s="14">
        <v>2.2000000000000002</v>
      </c>
      <c r="I3" s="14">
        <v>0.23</v>
      </c>
      <c r="J3" s="14">
        <v>7.11</v>
      </c>
      <c r="K3" s="17">
        <f>$K$21</f>
        <v>0</v>
      </c>
      <c r="L3" s="16">
        <f t="shared" si="0"/>
        <v>7.11</v>
      </c>
      <c r="M3" s="5" t="str">
        <f t="shared" si="1"/>
        <v/>
      </c>
    </row>
    <row r="4" spans="1:13">
      <c r="A4" s="55" t="s">
        <v>199</v>
      </c>
      <c r="B4" s="38">
        <v>46057</v>
      </c>
      <c r="C4" s="38">
        <v>46070</v>
      </c>
      <c r="D4" s="122" t="s">
        <v>239</v>
      </c>
      <c r="E4" s="12" t="s">
        <v>162</v>
      </c>
      <c r="F4" s="12"/>
      <c r="G4" s="14">
        <v>5.7</v>
      </c>
      <c r="H4" s="14">
        <v>0.7</v>
      </c>
      <c r="I4" s="14">
        <v>0.3</v>
      </c>
      <c r="J4" s="14">
        <v>5.16</v>
      </c>
      <c r="K4" s="17">
        <f>$K$21</f>
        <v>0</v>
      </c>
      <c r="L4" s="16">
        <f t="shared" si="0"/>
        <v>5.16</v>
      </c>
      <c r="M4" s="5" t="str">
        <f t="shared" si="1"/>
        <v/>
      </c>
    </row>
    <row r="5" spans="1:13">
      <c r="A5" s="55" t="s">
        <v>200</v>
      </c>
      <c r="B5" s="38">
        <v>46071</v>
      </c>
      <c r="C5" s="38">
        <v>46084</v>
      </c>
      <c r="D5" s="122" t="s">
        <v>239</v>
      </c>
      <c r="E5" s="12" t="s">
        <v>163</v>
      </c>
      <c r="F5" s="12"/>
      <c r="G5" s="14">
        <v>2.6</v>
      </c>
      <c r="H5" s="14">
        <v>1.2</v>
      </c>
      <c r="I5" s="14">
        <v>0.3</v>
      </c>
      <c r="J5" s="14">
        <v>4.3</v>
      </c>
      <c r="K5" s="17">
        <f>$K$21</f>
        <v>0</v>
      </c>
      <c r="L5" s="16">
        <f t="shared" si="0"/>
        <v>4.3</v>
      </c>
      <c r="M5" s="5" t="str">
        <f t="shared" si="1"/>
        <v/>
      </c>
    </row>
    <row r="6" spans="1:13">
      <c r="A6" s="55" t="s">
        <v>197</v>
      </c>
      <c r="B6" s="38">
        <v>46029</v>
      </c>
      <c r="C6" s="38">
        <v>46042</v>
      </c>
      <c r="D6" s="122" t="s">
        <v>241</v>
      </c>
      <c r="E6" s="12" t="s">
        <v>161</v>
      </c>
      <c r="F6" s="12"/>
      <c r="G6" s="14">
        <v>7.2</v>
      </c>
      <c r="H6" s="14">
        <v>7.4</v>
      </c>
      <c r="I6" s="14">
        <v>0.3</v>
      </c>
      <c r="J6" s="14">
        <v>7.4</v>
      </c>
      <c r="K6" s="15">
        <v>5.0999999999999996</v>
      </c>
      <c r="L6" s="16">
        <f t="shared" si="0"/>
        <v>2.3000000000000007</v>
      </c>
      <c r="M6" s="5">
        <f t="shared" ref="M6:M9" si="2">IFERROR(IF(J6="","",J6/K6-1),"")</f>
        <v>0.45098039215686292</v>
      </c>
    </row>
    <row r="7" spans="1:13">
      <c r="A7" s="55" t="s">
        <v>198</v>
      </c>
      <c r="B7" s="38">
        <v>46043</v>
      </c>
      <c r="C7" s="38">
        <v>46056</v>
      </c>
      <c r="D7" s="122" t="s">
        <v>241</v>
      </c>
      <c r="E7" s="12" t="s">
        <v>162</v>
      </c>
      <c r="F7" s="12"/>
      <c r="G7" s="14">
        <v>5.5</v>
      </c>
      <c r="H7" s="14">
        <v>4.5</v>
      </c>
      <c r="I7" s="14">
        <v>0.4</v>
      </c>
      <c r="J7" s="14">
        <v>6</v>
      </c>
      <c r="K7" s="15">
        <v>5.0999999999999996</v>
      </c>
      <c r="L7" s="16">
        <f t="shared" si="0"/>
        <v>0.90000000000000036</v>
      </c>
      <c r="M7" s="5">
        <f t="shared" si="2"/>
        <v>0.17647058823529416</v>
      </c>
    </row>
    <row r="8" spans="1:13">
      <c r="A8" s="55" t="s">
        <v>199</v>
      </c>
      <c r="B8" s="38">
        <v>46057</v>
      </c>
      <c r="C8" s="38">
        <v>46070</v>
      </c>
      <c r="D8" s="122" t="s">
        <v>241</v>
      </c>
      <c r="E8" s="12" t="s">
        <v>162</v>
      </c>
      <c r="F8" s="12"/>
      <c r="G8" s="14">
        <v>1.22</v>
      </c>
      <c r="H8" s="14">
        <v>1.1499999999999999</v>
      </c>
      <c r="I8" s="14">
        <v>0.3</v>
      </c>
      <c r="J8" s="14">
        <v>2.4</v>
      </c>
      <c r="K8" s="15">
        <v>5.0999999999999996</v>
      </c>
      <c r="L8" s="16">
        <f t="shared" ref="L8:L13" si="3">IFERROR(IF(J8="","",J8-K8),"")</f>
        <v>-2.6999999999999997</v>
      </c>
      <c r="M8" s="5">
        <f t="shared" si="2"/>
        <v>-0.52941176470588236</v>
      </c>
    </row>
    <row r="9" spans="1:13">
      <c r="A9" s="55" t="s">
        <v>200</v>
      </c>
      <c r="B9" s="38">
        <v>46071</v>
      </c>
      <c r="C9" s="38">
        <v>46084</v>
      </c>
      <c r="D9" s="122" t="s">
        <v>241</v>
      </c>
      <c r="E9" s="12" t="s">
        <v>163</v>
      </c>
      <c r="F9" s="12"/>
      <c r="G9" s="14">
        <v>2.1</v>
      </c>
      <c r="H9" s="14">
        <v>4.2</v>
      </c>
      <c r="I9" s="14">
        <v>0.1</v>
      </c>
      <c r="J9" s="14">
        <v>4.13</v>
      </c>
      <c r="K9" s="15">
        <v>5.0999999999999996</v>
      </c>
      <c r="L9" s="16">
        <f t="shared" ref="L9" si="4">IFERROR(IF(J9="","",J9-K9),"")</f>
        <v>-0.96999999999999975</v>
      </c>
      <c r="M9" s="5">
        <f t="shared" si="2"/>
        <v>-0.19019607843137254</v>
      </c>
    </row>
    <row r="10" spans="1:13">
      <c r="A10" s="55" t="s">
        <v>197</v>
      </c>
      <c r="B10" s="38">
        <v>46029</v>
      </c>
      <c r="C10" s="38">
        <v>46042</v>
      </c>
      <c r="D10" s="122" t="s">
        <v>356</v>
      </c>
      <c r="E10" s="12" t="s">
        <v>161</v>
      </c>
      <c r="F10" s="12"/>
      <c r="G10" s="14">
        <v>6.1</v>
      </c>
      <c r="H10" s="14">
        <v>3.8</v>
      </c>
      <c r="I10" s="14">
        <v>2.5</v>
      </c>
      <c r="J10" s="14">
        <v>5.4</v>
      </c>
      <c r="K10" s="15">
        <v>4.7</v>
      </c>
      <c r="L10" s="16">
        <f t="shared" si="3"/>
        <v>0.70000000000000018</v>
      </c>
      <c r="M10" s="5">
        <f t="shared" ref="M10:M13" si="5">IFERROR(IF(J10="","",J10/K10-1),"")</f>
        <v>0.14893617021276606</v>
      </c>
    </row>
    <row r="11" spans="1:13">
      <c r="A11" s="55" t="s">
        <v>198</v>
      </c>
      <c r="B11" s="38">
        <v>46043</v>
      </c>
      <c r="C11" s="38">
        <v>46056</v>
      </c>
      <c r="D11" s="122" t="s">
        <v>356</v>
      </c>
      <c r="E11" s="12" t="s">
        <v>162</v>
      </c>
      <c r="F11" s="12"/>
      <c r="G11" s="14">
        <v>0.16</v>
      </c>
      <c r="H11" s="14">
        <v>3.6</v>
      </c>
      <c r="I11" s="14">
        <v>2.4</v>
      </c>
      <c r="J11" s="14">
        <v>4.0999999999999996</v>
      </c>
      <c r="K11" s="15">
        <v>4.7</v>
      </c>
      <c r="L11" s="16">
        <f t="shared" si="3"/>
        <v>-0.60000000000000053</v>
      </c>
      <c r="M11" s="5">
        <f t="shared" si="5"/>
        <v>-0.12765957446808518</v>
      </c>
    </row>
    <row r="12" spans="1:13">
      <c r="A12" s="55" t="s">
        <v>199</v>
      </c>
      <c r="B12" s="38">
        <v>46057</v>
      </c>
      <c r="C12" s="38">
        <v>46070</v>
      </c>
      <c r="D12" s="122" t="s">
        <v>356</v>
      </c>
      <c r="E12" s="12" t="s">
        <v>162</v>
      </c>
      <c r="F12" s="12"/>
      <c r="G12" s="14">
        <v>1.1200000000000001</v>
      </c>
      <c r="H12" s="14">
        <v>1.21</v>
      </c>
      <c r="I12" s="14">
        <v>1.21</v>
      </c>
      <c r="J12" s="14">
        <v>3.23</v>
      </c>
      <c r="K12" s="15">
        <v>4.7</v>
      </c>
      <c r="L12" s="16">
        <f t="shared" si="3"/>
        <v>-1.4700000000000002</v>
      </c>
      <c r="M12" s="5">
        <f t="shared" si="5"/>
        <v>-0.31276595744680857</v>
      </c>
    </row>
    <row r="13" spans="1:13">
      <c r="A13" s="55" t="s">
        <v>200</v>
      </c>
      <c r="B13" s="38">
        <v>46071</v>
      </c>
      <c r="C13" s="38">
        <v>46084</v>
      </c>
      <c r="D13" s="122" t="s">
        <v>356</v>
      </c>
      <c r="E13" s="12" t="s">
        <v>163</v>
      </c>
      <c r="F13" s="12"/>
      <c r="G13" s="14">
        <v>4.1900000000000004</v>
      </c>
      <c r="H13" s="14">
        <v>1.22</v>
      </c>
      <c r="I13" s="14">
        <v>1</v>
      </c>
      <c r="J13" s="14">
        <v>4.2</v>
      </c>
      <c r="K13" s="15">
        <v>4.7</v>
      </c>
      <c r="L13" s="16">
        <f t="shared" si="3"/>
        <v>-0.5</v>
      </c>
      <c r="M13" s="5">
        <f t="shared" si="5"/>
        <v>-0.1063829787234043</v>
      </c>
    </row>
    <row r="14" spans="1:13">
      <c r="A14" s="55" t="s">
        <v>197</v>
      </c>
      <c r="B14" s="38">
        <v>46029</v>
      </c>
      <c r="C14" s="38">
        <v>46042</v>
      </c>
      <c r="D14" s="122" t="s">
        <v>236</v>
      </c>
      <c r="E14" s="12" t="s">
        <v>161</v>
      </c>
      <c r="F14" s="12" t="s">
        <v>383</v>
      </c>
      <c r="G14" s="14">
        <v>3.15</v>
      </c>
      <c r="H14" s="14">
        <v>1.1299999999999999</v>
      </c>
      <c r="I14" s="14">
        <v>0.15</v>
      </c>
      <c r="J14" s="14">
        <v>3.18</v>
      </c>
      <c r="K14" s="15">
        <v>4</v>
      </c>
      <c r="L14" s="16">
        <f t="shared" ref="L14:L17" si="6">IFERROR(IF(J14="","",J14-K14),"")</f>
        <v>-0.81999999999999984</v>
      </c>
    </row>
    <row r="15" spans="1:13">
      <c r="A15" s="55" t="s">
        <v>198</v>
      </c>
      <c r="B15" s="38">
        <v>46043</v>
      </c>
      <c r="C15" s="38">
        <v>46056</v>
      </c>
      <c r="D15" s="122" t="s">
        <v>236</v>
      </c>
      <c r="E15" s="12" t="s">
        <v>162</v>
      </c>
      <c r="F15" s="12" t="s">
        <v>383</v>
      </c>
      <c r="G15" s="14">
        <v>3.2</v>
      </c>
      <c r="H15" s="14">
        <v>2.19</v>
      </c>
      <c r="I15" s="14">
        <v>1.7</v>
      </c>
      <c r="J15" s="14">
        <v>4.13</v>
      </c>
      <c r="K15" s="15">
        <v>4</v>
      </c>
      <c r="L15" s="16">
        <f t="shared" si="6"/>
        <v>0.12999999999999989</v>
      </c>
    </row>
    <row r="16" spans="1:13">
      <c r="A16" s="55" t="s">
        <v>199</v>
      </c>
      <c r="B16" s="38">
        <v>46057</v>
      </c>
      <c r="C16" s="38">
        <v>46070</v>
      </c>
      <c r="D16" s="122" t="s">
        <v>236</v>
      </c>
      <c r="E16" s="12" t="s">
        <v>162</v>
      </c>
      <c r="F16" s="12" t="s">
        <v>384</v>
      </c>
      <c r="G16" s="14">
        <v>3.1</v>
      </c>
      <c r="H16" s="14">
        <v>1.9</v>
      </c>
      <c r="I16" s="14">
        <v>0.1</v>
      </c>
      <c r="J16" s="14">
        <v>4.0999999999999996</v>
      </c>
      <c r="K16" s="15">
        <v>4</v>
      </c>
      <c r="L16" s="16">
        <f t="shared" si="6"/>
        <v>9.9999999999999645E-2</v>
      </c>
    </row>
    <row r="17" spans="1:12">
      <c r="A17" s="55" t="s">
        <v>200</v>
      </c>
      <c r="B17" s="38">
        <v>46071</v>
      </c>
      <c r="C17" s="38">
        <v>46084</v>
      </c>
      <c r="D17" s="122" t="s">
        <v>236</v>
      </c>
      <c r="E17" s="12" t="s">
        <v>163</v>
      </c>
      <c r="F17" s="12" t="s">
        <v>385</v>
      </c>
      <c r="G17" s="14">
        <v>3.15</v>
      </c>
      <c r="H17" s="14">
        <v>0.15</v>
      </c>
      <c r="I17" s="14">
        <v>0.9</v>
      </c>
      <c r="J17" s="14">
        <v>4.7</v>
      </c>
      <c r="K17" s="15">
        <v>4</v>
      </c>
      <c r="L17" s="16">
        <f t="shared" si="6"/>
        <v>0.70000000000000018</v>
      </c>
    </row>
    <row r="18" spans="1:12">
      <c r="A18" s="55" t="s">
        <v>201</v>
      </c>
      <c r="B18" s="38">
        <v>46085</v>
      </c>
      <c r="C18" s="38">
        <v>46098</v>
      </c>
      <c r="D18" s="122" t="s">
        <v>236</v>
      </c>
      <c r="E18" s="12" t="s">
        <v>163</v>
      </c>
      <c r="G18" s="14">
        <v>4.12</v>
      </c>
      <c r="H18" s="14">
        <v>1.1399999999999999</v>
      </c>
      <c r="I18" s="14">
        <v>0.18</v>
      </c>
      <c r="J18" s="14">
        <v>5.23</v>
      </c>
    </row>
    <row r="19" spans="1:12">
      <c r="A19" s="55" t="s">
        <v>201</v>
      </c>
      <c r="B19" s="38">
        <v>46085</v>
      </c>
      <c r="C19" s="38">
        <v>46098</v>
      </c>
      <c r="D19" s="122" t="s">
        <v>239</v>
      </c>
      <c r="E19" s="12" t="s">
        <v>163</v>
      </c>
      <c r="G19" s="14">
        <v>5.3</v>
      </c>
      <c r="H19" s="14">
        <v>1</v>
      </c>
      <c r="I19" s="14">
        <v>1.37</v>
      </c>
      <c r="J19" s="14">
        <v>5.3</v>
      </c>
    </row>
    <row r="20" spans="1:12">
      <c r="A20" s="55" t="s">
        <v>201</v>
      </c>
      <c r="B20" s="38">
        <v>46085</v>
      </c>
      <c r="C20" s="38">
        <v>46098</v>
      </c>
      <c r="D20" s="122" t="s">
        <v>241</v>
      </c>
      <c r="E20" s="12" t="s">
        <v>163</v>
      </c>
      <c r="G20" s="14">
        <v>7.1</v>
      </c>
      <c r="H20" s="14">
        <v>4.1900000000000004</v>
      </c>
      <c r="I20" s="14">
        <v>0.22</v>
      </c>
      <c r="J20" s="14">
        <v>7.2</v>
      </c>
    </row>
    <row r="21" spans="1:12">
      <c r="A21" s="55" t="s">
        <v>201</v>
      </c>
      <c r="B21" s="38">
        <v>46085</v>
      </c>
      <c r="C21" s="38">
        <v>46098</v>
      </c>
      <c r="D21" s="122" t="s">
        <v>356</v>
      </c>
      <c r="E21" s="12" t="s">
        <v>163</v>
      </c>
      <c r="G21" s="14">
        <v>3.6</v>
      </c>
      <c r="H21" s="14">
        <v>3.5</v>
      </c>
      <c r="I21" s="14">
        <v>2.6</v>
      </c>
      <c r="J21" s="14">
        <v>5.0999999999999996</v>
      </c>
    </row>
    <row r="22" spans="1:12">
      <c r="A22" s="55" t="s">
        <v>202</v>
      </c>
      <c r="B22" s="38">
        <v>46099</v>
      </c>
      <c r="C22" s="38">
        <v>46112</v>
      </c>
      <c r="D22" s="122" t="s">
        <v>236</v>
      </c>
      <c r="E22" s="12" t="s">
        <v>163</v>
      </c>
      <c r="G22" s="14">
        <v>3.1</v>
      </c>
      <c r="H22" s="14">
        <v>1.4</v>
      </c>
      <c r="I22" s="14">
        <v>1</v>
      </c>
      <c r="J22" s="14">
        <v>4.5999999999999996</v>
      </c>
    </row>
    <row r="23" spans="1:12">
      <c r="A23" s="55" t="s">
        <v>202</v>
      </c>
      <c r="B23" s="38">
        <v>46099</v>
      </c>
      <c r="C23" s="38">
        <v>46112</v>
      </c>
      <c r="D23" s="122" t="s">
        <v>239</v>
      </c>
      <c r="E23" s="12" t="s">
        <v>163</v>
      </c>
      <c r="G23" s="14">
        <v>4.0999999999999996</v>
      </c>
      <c r="H23" s="14">
        <v>3.8</v>
      </c>
      <c r="I23" s="14">
        <v>1.1299999999999999</v>
      </c>
      <c r="J23" s="14">
        <v>5.23</v>
      </c>
    </row>
    <row r="24" spans="1:12">
      <c r="A24" s="55" t="s">
        <v>202</v>
      </c>
      <c r="B24" s="38">
        <v>46099</v>
      </c>
      <c r="C24" s="38">
        <v>46112</v>
      </c>
      <c r="D24" s="122" t="s">
        <v>241</v>
      </c>
      <c r="E24" s="12" t="s">
        <v>163</v>
      </c>
      <c r="G24" s="14">
        <v>5.23</v>
      </c>
      <c r="H24" s="14">
        <v>6.2</v>
      </c>
      <c r="I24" s="14">
        <v>0.65</v>
      </c>
      <c r="J24" s="14">
        <v>7.2</v>
      </c>
    </row>
    <row r="25" spans="1:12">
      <c r="A25" s="55" t="s">
        <v>202</v>
      </c>
      <c r="B25" s="38">
        <v>46099</v>
      </c>
      <c r="C25" s="38">
        <v>46112</v>
      </c>
      <c r="D25" s="122" t="s">
        <v>356</v>
      </c>
      <c r="E25" s="12" t="s">
        <v>163</v>
      </c>
      <c r="G25" s="14">
        <v>4.2</v>
      </c>
      <c r="H25" s="14">
        <v>3.3</v>
      </c>
      <c r="I25" s="14">
        <v>3.8</v>
      </c>
      <c r="J25" s="14">
        <v>7.1</v>
      </c>
    </row>
    <row r="26" spans="1:12">
      <c r="A26" s="55" t="s">
        <v>203</v>
      </c>
      <c r="B26" s="38">
        <v>46113</v>
      </c>
      <c r="C26" s="38">
        <v>46126</v>
      </c>
      <c r="D26" s="122" t="s">
        <v>236</v>
      </c>
      <c r="E26" s="12" t="s">
        <v>164</v>
      </c>
      <c r="G26" s="14">
        <v>4.3</v>
      </c>
      <c r="H26" s="14">
        <v>1.3</v>
      </c>
      <c r="I26" s="14">
        <v>0.2</v>
      </c>
      <c r="J26" s="14">
        <v>4.17</v>
      </c>
    </row>
    <row r="27" spans="1:12">
      <c r="A27" s="55" t="s">
        <v>203</v>
      </c>
      <c r="B27" s="38">
        <v>46113</v>
      </c>
      <c r="C27" s="38">
        <v>46126</v>
      </c>
      <c r="D27" s="122" t="s">
        <v>239</v>
      </c>
      <c r="E27" s="12" t="s">
        <v>164</v>
      </c>
      <c r="G27" s="14">
        <v>6.1</v>
      </c>
      <c r="H27" s="14">
        <v>4.0999999999999996</v>
      </c>
      <c r="I27" s="14">
        <v>2.1</v>
      </c>
      <c r="J27" s="14">
        <v>8.1999999999999993</v>
      </c>
    </row>
    <row r="28" spans="1:12">
      <c r="A28" s="55" t="s">
        <v>203</v>
      </c>
      <c r="B28" s="38">
        <v>46113</v>
      </c>
      <c r="C28" s="38">
        <v>46126</v>
      </c>
      <c r="D28" s="122" t="s">
        <v>241</v>
      </c>
      <c r="E28" s="12" t="s">
        <v>164</v>
      </c>
      <c r="G28" s="14">
        <v>5.0999999999999996</v>
      </c>
      <c r="H28" s="14">
        <v>3.1</v>
      </c>
      <c r="I28" s="14">
        <v>1.4</v>
      </c>
      <c r="J28" s="14">
        <v>4.17</v>
      </c>
    </row>
    <row r="29" spans="1:12">
      <c r="A29" s="55" t="s">
        <v>203</v>
      </c>
      <c r="B29" s="121">
        <v>46113</v>
      </c>
      <c r="C29" s="121">
        <v>46126</v>
      </c>
      <c r="D29" s="122" t="s">
        <v>356</v>
      </c>
      <c r="E29" s="122" t="s">
        <v>164</v>
      </c>
      <c r="G29" s="14">
        <v>1.1000000000000001</v>
      </c>
      <c r="H29" s="14">
        <v>1.2</v>
      </c>
      <c r="I29" s="14">
        <v>1.2</v>
      </c>
      <c r="J29" s="14">
        <v>2.2000000000000002</v>
      </c>
    </row>
    <row r="30" spans="1:12">
      <c r="A30" s="55" t="s">
        <v>204</v>
      </c>
      <c r="B30" s="121">
        <v>46127</v>
      </c>
      <c r="C30" s="121">
        <v>46140</v>
      </c>
      <c r="D30" s="122" t="s">
        <v>236</v>
      </c>
      <c r="E30" s="122" t="s">
        <v>164</v>
      </c>
      <c r="G30" s="14">
        <v>1.5</v>
      </c>
      <c r="H30" s="14">
        <v>1.2</v>
      </c>
      <c r="I30" s="14">
        <v>0.19</v>
      </c>
      <c r="J30" s="14">
        <v>2.6</v>
      </c>
    </row>
    <row r="31" spans="1:12">
      <c r="A31" s="55" t="s">
        <v>204</v>
      </c>
      <c r="B31" s="121">
        <v>46127</v>
      </c>
      <c r="C31" s="121">
        <v>46140</v>
      </c>
      <c r="D31" s="122" t="s">
        <v>239</v>
      </c>
      <c r="E31" s="122" t="s">
        <v>164</v>
      </c>
      <c r="G31" s="14">
        <v>3.2</v>
      </c>
      <c r="H31" s="14">
        <v>1.5</v>
      </c>
      <c r="I31" s="14">
        <v>5.2</v>
      </c>
      <c r="J31" s="14">
        <v>4.0999999999999996</v>
      </c>
    </row>
    <row r="32" spans="1:12">
      <c r="A32" s="55" t="s">
        <v>204</v>
      </c>
      <c r="B32" s="121">
        <v>46127</v>
      </c>
      <c r="C32" s="121">
        <v>46140</v>
      </c>
      <c r="D32" s="122" t="s">
        <v>241</v>
      </c>
      <c r="E32" s="122" t="s">
        <v>164</v>
      </c>
      <c r="G32" s="14">
        <v>3.22</v>
      </c>
      <c r="H32" s="14">
        <v>3.1</v>
      </c>
      <c r="I32" s="14">
        <v>4.3</v>
      </c>
      <c r="J32" s="14">
        <v>6</v>
      </c>
    </row>
    <row r="33" spans="1:10">
      <c r="A33" s="55" t="s">
        <v>204</v>
      </c>
      <c r="B33" s="121">
        <v>46127</v>
      </c>
      <c r="C33" s="121">
        <v>46140</v>
      </c>
      <c r="D33" s="122" t="s">
        <v>356</v>
      </c>
      <c r="E33" s="122" t="s">
        <v>164</v>
      </c>
      <c r="G33" s="14">
        <v>3.2</v>
      </c>
      <c r="H33" s="14">
        <v>2.7</v>
      </c>
      <c r="I33" s="14">
        <v>1.3</v>
      </c>
      <c r="J33" s="14">
        <v>4.7</v>
      </c>
    </row>
    <row r="34" spans="1:10">
      <c r="A34" s="55" t="s">
        <v>207</v>
      </c>
      <c r="B34" s="121">
        <v>46141</v>
      </c>
      <c r="C34" s="121">
        <v>46154</v>
      </c>
      <c r="D34" s="122" t="s">
        <v>236</v>
      </c>
      <c r="E34" s="122" t="s">
        <v>35</v>
      </c>
      <c r="G34" s="14">
        <v>3.2</v>
      </c>
      <c r="H34" s="14">
        <v>1.1000000000000001</v>
      </c>
      <c r="I34" s="14">
        <v>1.1000000000000001</v>
      </c>
      <c r="J34" s="14">
        <v>5.2</v>
      </c>
    </row>
    <row r="35" spans="1:10">
      <c r="A35" s="55" t="s">
        <v>207</v>
      </c>
      <c r="B35" s="121">
        <v>46141</v>
      </c>
      <c r="C35" s="121">
        <v>46154</v>
      </c>
      <c r="D35" s="122" t="s">
        <v>239</v>
      </c>
      <c r="E35" s="122" t="s">
        <v>35</v>
      </c>
      <c r="G35" s="14">
        <v>6</v>
      </c>
      <c r="H35" s="14" t="s">
        <v>386</v>
      </c>
      <c r="I35" s="14">
        <v>3.1</v>
      </c>
      <c r="J35" s="14" t="s">
        <v>387</v>
      </c>
    </row>
    <row r="36" spans="1:10">
      <c r="A36" s="55" t="s">
        <v>207</v>
      </c>
      <c r="B36" s="121">
        <v>46141</v>
      </c>
      <c r="C36" s="121">
        <v>46154</v>
      </c>
      <c r="D36" s="122" t="s">
        <v>241</v>
      </c>
      <c r="E36" s="122" t="s">
        <v>35</v>
      </c>
      <c r="G36" s="14">
        <v>4.2</v>
      </c>
      <c r="H36" s="14">
        <v>4.3</v>
      </c>
      <c r="I36" s="14">
        <v>1.2</v>
      </c>
      <c r="J36" s="14">
        <v>4.2</v>
      </c>
    </row>
    <row r="37" spans="1:10">
      <c r="A37" s="55" t="s">
        <v>207</v>
      </c>
      <c r="B37" s="121">
        <v>46141</v>
      </c>
      <c r="C37" s="121">
        <v>46154</v>
      </c>
      <c r="D37" s="122" t="s">
        <v>356</v>
      </c>
      <c r="E37" s="122" t="s">
        <v>35</v>
      </c>
      <c r="G37" s="14">
        <v>0.2</v>
      </c>
      <c r="H37" s="14">
        <v>2.1</v>
      </c>
      <c r="I37" s="14">
        <v>1.2</v>
      </c>
      <c r="J37" s="14">
        <v>3.1</v>
      </c>
    </row>
    <row r="38" spans="1:10">
      <c r="A38" s="212" t="s">
        <v>209</v>
      </c>
      <c r="B38" s="213">
        <v>46155</v>
      </c>
      <c r="C38" s="213">
        <v>46168</v>
      </c>
      <c r="D38" s="212" t="s">
        <v>236</v>
      </c>
      <c r="E38" s="212" t="s">
        <v>35</v>
      </c>
      <c r="G38" s="14">
        <v>5.2</v>
      </c>
      <c r="H38" s="14">
        <v>1.4</v>
      </c>
      <c r="I38" s="14">
        <v>0.15</v>
      </c>
      <c r="J38" s="14">
        <v>5.2</v>
      </c>
    </row>
    <row r="39" spans="1:10">
      <c r="A39" s="212" t="s">
        <v>209</v>
      </c>
      <c r="B39" s="213">
        <v>46155</v>
      </c>
      <c r="C39" s="213">
        <v>46168</v>
      </c>
      <c r="D39" s="212" t="s">
        <v>239</v>
      </c>
      <c r="E39" s="212" t="s">
        <v>35</v>
      </c>
      <c r="G39" s="14">
        <v>2.15</v>
      </c>
      <c r="H39" s="14">
        <v>1.22</v>
      </c>
      <c r="I39" s="14">
        <v>3.43</v>
      </c>
      <c r="J39" s="14">
        <v>2.1800000000000002</v>
      </c>
    </row>
    <row r="40" spans="1:10">
      <c r="A40" s="212" t="s">
        <v>209</v>
      </c>
      <c r="B40" s="213">
        <v>46155</v>
      </c>
      <c r="C40" s="213">
        <v>46168</v>
      </c>
      <c r="D40" s="212" t="s">
        <v>241</v>
      </c>
      <c r="E40" s="212" t="s">
        <v>35</v>
      </c>
      <c r="G40" s="14">
        <v>7.2</v>
      </c>
      <c r="H40" s="14">
        <v>3.6</v>
      </c>
      <c r="I40" s="14">
        <v>0.25</v>
      </c>
      <c r="J40" s="14">
        <v>7.13</v>
      </c>
    </row>
    <row r="41" spans="1:10">
      <c r="A41" s="212" t="s">
        <v>209</v>
      </c>
      <c r="B41" s="213">
        <v>46155</v>
      </c>
      <c r="C41" s="213">
        <v>46168</v>
      </c>
      <c r="D41" s="212" t="s">
        <v>356</v>
      </c>
      <c r="E41" s="212" t="s">
        <v>35</v>
      </c>
      <c r="G41" s="14">
        <v>2.4</v>
      </c>
      <c r="H41" s="14">
        <v>1.1200000000000001</v>
      </c>
      <c r="I41" s="14">
        <v>1</v>
      </c>
      <c r="J41" s="14">
        <v>6.7</v>
      </c>
    </row>
    <row r="42" spans="1:10">
      <c r="A42" s="212" t="s">
        <v>211</v>
      </c>
      <c r="B42" s="213">
        <v>46169</v>
      </c>
      <c r="C42" s="213">
        <v>46182</v>
      </c>
      <c r="D42" s="212" t="s">
        <v>236</v>
      </c>
      <c r="E42" s="212" t="s">
        <v>165</v>
      </c>
      <c r="G42" s="14">
        <v>3.7</v>
      </c>
      <c r="H42" s="14">
        <v>1.9</v>
      </c>
      <c r="I42" s="14">
        <v>0.2</v>
      </c>
      <c r="J42" s="14">
        <v>5.0999999999999996</v>
      </c>
    </row>
    <row r="43" spans="1:10">
      <c r="A43" s="212" t="s">
        <v>211</v>
      </c>
      <c r="B43" s="213">
        <v>46169</v>
      </c>
      <c r="C43" s="213">
        <v>46182</v>
      </c>
      <c r="D43" s="212" t="s">
        <v>239</v>
      </c>
      <c r="E43" s="212" t="s">
        <v>165</v>
      </c>
      <c r="G43" s="14" t="s">
        <v>388</v>
      </c>
      <c r="H43" s="14" t="s">
        <v>389</v>
      </c>
      <c r="I43" s="14" t="s">
        <v>390</v>
      </c>
      <c r="J43" s="14" t="s">
        <v>391</v>
      </c>
    </row>
    <row r="44" spans="1:10">
      <c r="A44" s="212" t="s">
        <v>211</v>
      </c>
      <c r="B44" s="213">
        <v>46169</v>
      </c>
      <c r="C44" s="213">
        <v>46182</v>
      </c>
      <c r="D44" s="212" t="s">
        <v>241</v>
      </c>
      <c r="E44" s="212" t="s">
        <v>165</v>
      </c>
      <c r="G44" s="14" t="s">
        <v>392</v>
      </c>
      <c r="H44" s="14" t="s">
        <v>393</v>
      </c>
      <c r="I44" s="14" t="s">
        <v>385</v>
      </c>
      <c r="J44" s="14" t="s">
        <v>394</v>
      </c>
    </row>
    <row r="45" spans="1:10">
      <c r="A45" s="212" t="s">
        <v>211</v>
      </c>
      <c r="B45" s="213">
        <v>46169</v>
      </c>
      <c r="C45" s="213">
        <v>46182</v>
      </c>
      <c r="D45" s="212" t="s">
        <v>356</v>
      </c>
      <c r="E45" s="212" t="s">
        <v>165</v>
      </c>
      <c r="G45" s="14" t="s">
        <v>395</v>
      </c>
      <c r="H45" s="14" t="s">
        <v>396</v>
      </c>
      <c r="I45" s="14" t="s">
        <v>397</v>
      </c>
      <c r="J45" s="14" t="s">
        <v>398</v>
      </c>
    </row>
    <row r="46" spans="1:10">
      <c r="A46" s="212" t="s">
        <v>213</v>
      </c>
      <c r="B46" s="213">
        <v>46183</v>
      </c>
      <c r="C46" s="213">
        <v>46196</v>
      </c>
      <c r="D46" s="84" t="s">
        <v>236</v>
      </c>
      <c r="E46" s="212" t="s">
        <v>165</v>
      </c>
      <c r="G46" s="14">
        <v>3</v>
      </c>
      <c r="H46" s="14">
        <v>1.1499999999999999</v>
      </c>
      <c r="I46" s="14">
        <v>0.13</v>
      </c>
      <c r="J46" s="14">
        <v>4.2</v>
      </c>
    </row>
    <row r="47" spans="1:10">
      <c r="A47" s="212" t="s">
        <v>213</v>
      </c>
      <c r="B47" s="213">
        <v>46183</v>
      </c>
      <c r="C47" s="213">
        <v>46196</v>
      </c>
      <c r="D47" s="212" t="s">
        <v>239</v>
      </c>
      <c r="E47" s="212" t="s">
        <v>165</v>
      </c>
      <c r="G47" s="14">
        <v>4.3</v>
      </c>
      <c r="H47" s="14">
        <v>1.9</v>
      </c>
      <c r="I47" s="14">
        <v>0.11</v>
      </c>
      <c r="J47" s="14">
        <v>6.2</v>
      </c>
    </row>
    <row r="48" spans="1:10">
      <c r="A48" s="212" t="s">
        <v>213</v>
      </c>
      <c r="B48" s="213">
        <v>46183</v>
      </c>
      <c r="C48" s="213">
        <v>46196</v>
      </c>
      <c r="D48" s="212" t="s">
        <v>241</v>
      </c>
      <c r="E48" s="212" t="s">
        <v>165</v>
      </c>
      <c r="G48" s="14">
        <v>4.2</v>
      </c>
      <c r="H48" s="14">
        <v>4</v>
      </c>
      <c r="I48" s="14">
        <v>4.4000000000000004</v>
      </c>
      <c r="J48" s="14">
        <v>7.16</v>
      </c>
    </row>
    <row r="49" spans="1:10">
      <c r="A49" s="212" t="s">
        <v>213</v>
      </c>
      <c r="B49" s="213">
        <v>46183</v>
      </c>
      <c r="C49" s="213">
        <v>46196</v>
      </c>
      <c r="D49" s="212" t="s">
        <v>356</v>
      </c>
      <c r="E49" s="212" t="s">
        <v>165</v>
      </c>
      <c r="G49" s="14">
        <v>13.21</v>
      </c>
      <c r="H49" s="14">
        <v>1.1000000000000001</v>
      </c>
      <c r="I49" s="14">
        <v>1</v>
      </c>
      <c r="J49" s="14">
        <v>23</v>
      </c>
    </row>
    <row r="50" spans="1:10">
      <c r="A50" s="214"/>
      <c r="B50" s="214"/>
      <c r="C50" s="214"/>
      <c r="D50" s="214"/>
      <c r="E50" s="214"/>
    </row>
    <row r="51" spans="1:10">
      <c r="A51" s="214"/>
      <c r="B51" s="214"/>
      <c r="C51" s="214"/>
      <c r="D51" s="214"/>
      <c r="E51" s="214"/>
    </row>
    <row r="52" spans="1:10">
      <c r="A52" s="214"/>
      <c r="B52" s="214"/>
      <c r="C52" s="214"/>
      <c r="D52" s="214"/>
      <c r="E52" s="214"/>
    </row>
    <row r="53" spans="1:10">
      <c r="A53" s="214"/>
      <c r="B53" s="214"/>
      <c r="C53" s="214"/>
      <c r="D53" s="214"/>
      <c r="E53" s="214"/>
    </row>
    <row r="54" spans="1:10">
      <c r="A54" s="214"/>
      <c r="B54" s="214"/>
      <c r="C54" s="214"/>
      <c r="D54" s="214"/>
      <c r="E54" s="214"/>
    </row>
  </sheetData>
  <autoFilter ref="A1:M25" xr:uid="{C23F1EA7-39D2-4119-93FE-E602BA4D1A5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6E8A-72CD-4E16-8E1F-98E2A642A0A0}">
  <dimension ref="A1:J34"/>
  <sheetViews>
    <sheetView topLeftCell="D1" workbookViewId="0">
      <selection activeCell="J11" sqref="J11"/>
    </sheetView>
  </sheetViews>
  <sheetFormatPr defaultRowHeight="14.45"/>
  <cols>
    <col min="1" max="1" width="12.85546875" bestFit="1" customWidth="1"/>
    <col min="3" max="3" width="11.85546875" customWidth="1"/>
    <col min="4" max="4" width="13.140625" bestFit="1" customWidth="1"/>
    <col min="5" max="5" width="8.7109375" style="54"/>
    <col min="6" max="6" width="23.7109375" customWidth="1"/>
    <col min="7" max="7" width="26.42578125" customWidth="1"/>
    <col min="8" max="8" width="29" customWidth="1"/>
    <col min="10" max="10" width="63.85546875" customWidth="1"/>
    <col min="11" max="15" width="23.85546875" customWidth="1"/>
  </cols>
  <sheetData>
    <row r="1" spans="1:10" ht="18">
      <c r="A1" s="275" t="s">
        <v>68</v>
      </c>
      <c r="B1" s="275"/>
      <c r="C1" s="275"/>
      <c r="D1" s="275"/>
      <c r="E1" s="275"/>
      <c r="F1" s="275"/>
      <c r="G1" s="275"/>
      <c r="H1" s="275"/>
      <c r="I1" s="275"/>
      <c r="J1" s="275"/>
    </row>
    <row r="2" spans="1:10" ht="26.1">
      <c r="A2" s="89" t="s">
        <v>193</v>
      </c>
      <c r="B2" s="89" t="s">
        <v>227</v>
      </c>
      <c r="C2" s="89" t="s">
        <v>350</v>
      </c>
      <c r="D2" s="89" t="s">
        <v>351</v>
      </c>
      <c r="E2" s="189" t="s">
        <v>155</v>
      </c>
      <c r="F2" s="89" t="s">
        <v>399</v>
      </c>
      <c r="G2" s="89" t="s">
        <v>400</v>
      </c>
      <c r="H2" s="89" t="s">
        <v>401</v>
      </c>
      <c r="I2" s="89" t="s">
        <v>92</v>
      </c>
      <c r="J2" s="89" t="s">
        <v>402</v>
      </c>
    </row>
    <row r="3" spans="1:10">
      <c r="A3" s="90" t="s">
        <v>202</v>
      </c>
      <c r="B3" s="90" t="s">
        <v>236</v>
      </c>
      <c r="C3" s="91">
        <v>46099</v>
      </c>
      <c r="D3" s="91">
        <v>46112</v>
      </c>
      <c r="E3" s="190" t="s">
        <v>163</v>
      </c>
      <c r="F3" s="92">
        <v>30</v>
      </c>
      <c r="G3" s="92" t="s">
        <v>403</v>
      </c>
      <c r="H3" s="92">
        <v>27</v>
      </c>
      <c r="I3" s="92">
        <f>H3/F3*100</f>
        <v>90</v>
      </c>
      <c r="J3" s="92" t="s">
        <v>404</v>
      </c>
    </row>
    <row r="4" spans="1:10">
      <c r="A4" s="90" t="s">
        <v>202</v>
      </c>
      <c r="B4" s="90" t="s">
        <v>239</v>
      </c>
      <c r="C4" s="91">
        <v>46099</v>
      </c>
      <c r="D4" s="91">
        <v>46112</v>
      </c>
      <c r="E4" s="190" t="s">
        <v>163</v>
      </c>
      <c r="F4" s="92">
        <v>18</v>
      </c>
      <c r="G4" s="92">
        <v>4</v>
      </c>
      <c r="H4" s="92">
        <v>14</v>
      </c>
      <c r="I4" s="92">
        <f t="shared" ref="I4:I6" si="0">H4/F4*100</f>
        <v>77.777777777777786</v>
      </c>
      <c r="J4" s="92" t="s">
        <v>405</v>
      </c>
    </row>
    <row r="5" spans="1:10">
      <c r="A5" s="90" t="s">
        <v>202</v>
      </c>
      <c r="B5" s="90" t="s">
        <v>241</v>
      </c>
      <c r="C5" s="91">
        <v>46099</v>
      </c>
      <c r="D5" s="91">
        <v>46112</v>
      </c>
      <c r="E5" s="190" t="s">
        <v>163</v>
      </c>
      <c r="F5" s="92">
        <v>8</v>
      </c>
      <c r="G5" s="92">
        <v>2</v>
      </c>
      <c r="H5" s="92">
        <v>6</v>
      </c>
      <c r="I5" s="92">
        <f t="shared" si="0"/>
        <v>75</v>
      </c>
      <c r="J5" s="92" t="s">
        <v>406</v>
      </c>
    </row>
    <row r="6" spans="1:10">
      <c r="A6" s="90" t="s">
        <v>202</v>
      </c>
      <c r="B6" s="90" t="s">
        <v>356</v>
      </c>
      <c r="C6" s="91">
        <v>46099</v>
      </c>
      <c r="D6" s="91">
        <v>46112</v>
      </c>
      <c r="E6" s="190" t="s">
        <v>163</v>
      </c>
      <c r="F6" s="92">
        <v>21</v>
      </c>
      <c r="G6" s="92">
        <v>1</v>
      </c>
      <c r="H6" s="92">
        <v>20</v>
      </c>
      <c r="I6" s="92">
        <f t="shared" si="0"/>
        <v>95.238095238095227</v>
      </c>
      <c r="J6" s="92" t="s">
        <v>407</v>
      </c>
    </row>
    <row r="7" spans="1:10" ht="24.95">
      <c r="A7" s="90" t="s">
        <v>201</v>
      </c>
      <c r="B7" s="90" t="s">
        <v>236</v>
      </c>
      <c r="C7" s="91">
        <v>46085</v>
      </c>
      <c r="D7" s="91">
        <v>46098</v>
      </c>
      <c r="E7" s="190" t="s">
        <v>163</v>
      </c>
      <c r="F7" s="92">
        <v>53</v>
      </c>
      <c r="G7" s="92">
        <v>10</v>
      </c>
      <c r="H7" s="92">
        <v>43</v>
      </c>
      <c r="I7" s="92">
        <f>H7/F7*100</f>
        <v>81.132075471698116</v>
      </c>
      <c r="J7" s="90" t="s">
        <v>408</v>
      </c>
    </row>
    <row r="8" spans="1:10">
      <c r="A8" s="90" t="s">
        <v>201</v>
      </c>
      <c r="B8" s="90" t="s">
        <v>239</v>
      </c>
      <c r="C8" s="91">
        <v>46085</v>
      </c>
      <c r="D8" s="91">
        <v>46098</v>
      </c>
      <c r="E8" s="190" t="s">
        <v>163</v>
      </c>
      <c r="F8" s="90">
        <v>17</v>
      </c>
      <c r="G8" s="90">
        <v>3</v>
      </c>
      <c r="H8" s="90">
        <v>14</v>
      </c>
      <c r="I8" s="92">
        <f>H8/F8*100</f>
        <v>82.35294117647058</v>
      </c>
      <c r="J8" s="90" t="s">
        <v>409</v>
      </c>
    </row>
    <row r="9" spans="1:10">
      <c r="A9" s="90" t="s">
        <v>201</v>
      </c>
      <c r="B9" s="90" t="s">
        <v>241</v>
      </c>
      <c r="C9" s="91">
        <v>46085</v>
      </c>
      <c r="D9" s="91">
        <v>46098</v>
      </c>
      <c r="E9" s="190" t="s">
        <v>163</v>
      </c>
      <c r="F9" s="90">
        <v>11</v>
      </c>
      <c r="G9" s="90">
        <v>1</v>
      </c>
      <c r="H9" s="90">
        <v>10</v>
      </c>
      <c r="I9" s="92">
        <f>H9/F9*100</f>
        <v>90.909090909090907</v>
      </c>
      <c r="J9" s="90" t="s">
        <v>410</v>
      </c>
    </row>
    <row r="10" spans="1:10">
      <c r="A10" s="90" t="s">
        <v>201</v>
      </c>
      <c r="B10" s="90" t="s">
        <v>356</v>
      </c>
      <c r="C10" s="91">
        <v>46085</v>
      </c>
      <c r="D10" s="91">
        <v>46098</v>
      </c>
      <c r="E10" s="190" t="s">
        <v>163</v>
      </c>
      <c r="F10" s="90">
        <v>17</v>
      </c>
      <c r="G10" s="90">
        <v>0</v>
      </c>
      <c r="H10" s="90">
        <v>17</v>
      </c>
      <c r="I10" s="92">
        <f>H10/F10*100</f>
        <v>100</v>
      </c>
      <c r="J10" s="90"/>
    </row>
    <row r="11" spans="1:10" ht="38.450000000000003">
      <c r="A11" s="90" t="s">
        <v>203</v>
      </c>
      <c r="B11" s="245" t="s">
        <v>236</v>
      </c>
      <c r="C11" s="91">
        <v>46113</v>
      </c>
      <c r="D11" s="91">
        <v>46126</v>
      </c>
      <c r="E11" s="246" t="s">
        <v>164</v>
      </c>
      <c r="F11" s="147">
        <v>45</v>
      </c>
      <c r="G11" s="147">
        <v>22</v>
      </c>
      <c r="H11" s="147">
        <v>23</v>
      </c>
      <c r="I11" s="247">
        <f t="shared" ref="I11:I14" si="1">H11/F11*100</f>
        <v>51.111111111111107</v>
      </c>
      <c r="J11" s="147" t="s">
        <v>411</v>
      </c>
    </row>
    <row r="12" spans="1:10" ht="26.1">
      <c r="A12" s="90" t="s">
        <v>203</v>
      </c>
      <c r="B12" s="248" t="s">
        <v>239</v>
      </c>
      <c r="C12" s="91">
        <v>46113</v>
      </c>
      <c r="D12" s="91">
        <v>46126</v>
      </c>
      <c r="E12" s="246" t="s">
        <v>164</v>
      </c>
      <c r="F12" s="147">
        <v>24</v>
      </c>
      <c r="G12" s="147">
        <v>7</v>
      </c>
      <c r="H12" s="147">
        <v>17</v>
      </c>
      <c r="I12" s="247">
        <f t="shared" si="1"/>
        <v>70.833333333333343</v>
      </c>
      <c r="J12" s="147" t="s">
        <v>412</v>
      </c>
    </row>
    <row r="13" spans="1:10">
      <c r="A13" s="90" t="s">
        <v>203</v>
      </c>
      <c r="B13" s="248" t="s">
        <v>241</v>
      </c>
      <c r="C13" s="91">
        <v>46113</v>
      </c>
      <c r="D13" s="91">
        <v>46126</v>
      </c>
      <c r="E13" s="246" t="s">
        <v>164</v>
      </c>
      <c r="F13" s="147">
        <v>17</v>
      </c>
      <c r="G13" s="147">
        <v>0</v>
      </c>
      <c r="H13" s="147">
        <v>17</v>
      </c>
      <c r="I13" s="92">
        <f t="shared" si="1"/>
        <v>100</v>
      </c>
      <c r="J13" s="105" t="s">
        <v>413</v>
      </c>
    </row>
    <row r="14" spans="1:10">
      <c r="A14" s="90" t="s">
        <v>203</v>
      </c>
      <c r="B14" s="248" t="s">
        <v>356</v>
      </c>
      <c r="C14" s="91">
        <v>46113</v>
      </c>
      <c r="D14" s="91">
        <v>46126</v>
      </c>
      <c r="E14" s="246" t="s">
        <v>164</v>
      </c>
      <c r="F14" s="147">
        <v>33</v>
      </c>
      <c r="G14" s="147">
        <v>1</v>
      </c>
      <c r="H14" s="147">
        <v>32</v>
      </c>
      <c r="I14" s="92">
        <f t="shared" si="1"/>
        <v>96.969696969696969</v>
      </c>
      <c r="J14" s="147" t="s">
        <v>414</v>
      </c>
    </row>
    <row r="15" spans="1:10">
      <c r="A15" s="90" t="s">
        <v>204</v>
      </c>
      <c r="B15" s="147" t="s">
        <v>236</v>
      </c>
      <c r="C15" s="91">
        <v>46127</v>
      </c>
      <c r="D15" s="91">
        <v>46140</v>
      </c>
      <c r="E15" s="190" t="s">
        <v>164</v>
      </c>
      <c r="F15" s="147">
        <v>16</v>
      </c>
      <c r="G15" s="147">
        <v>4</v>
      </c>
      <c r="H15" s="147">
        <v>12</v>
      </c>
      <c r="I15" s="247">
        <f t="shared" ref="I15:I21" si="2">H15/F15*100</f>
        <v>75</v>
      </c>
      <c r="J15" s="147" t="s">
        <v>415</v>
      </c>
    </row>
    <row r="16" spans="1:10">
      <c r="A16" s="90" t="s">
        <v>204</v>
      </c>
      <c r="B16" s="147" t="s">
        <v>239</v>
      </c>
      <c r="C16" s="91">
        <v>46127</v>
      </c>
      <c r="D16" s="91">
        <v>46140</v>
      </c>
      <c r="E16" s="190" t="s">
        <v>164</v>
      </c>
      <c r="F16" s="147">
        <v>30</v>
      </c>
      <c r="G16" s="147">
        <v>3</v>
      </c>
      <c r="H16" s="147">
        <v>27</v>
      </c>
      <c r="I16" s="92">
        <f t="shared" si="2"/>
        <v>90</v>
      </c>
      <c r="J16" s="147" t="s">
        <v>416</v>
      </c>
    </row>
    <row r="17" spans="1:10">
      <c r="A17" s="90" t="s">
        <v>204</v>
      </c>
      <c r="B17" s="147" t="s">
        <v>241</v>
      </c>
      <c r="C17" s="91">
        <v>46127</v>
      </c>
      <c r="D17" s="91">
        <v>46140</v>
      </c>
      <c r="E17" s="190" t="s">
        <v>164</v>
      </c>
      <c r="F17" s="147">
        <v>7</v>
      </c>
      <c r="G17" s="147">
        <v>0</v>
      </c>
      <c r="H17" s="147">
        <v>7</v>
      </c>
      <c r="I17" s="92">
        <f t="shared" si="2"/>
        <v>100</v>
      </c>
      <c r="J17" s="147"/>
    </row>
    <row r="18" spans="1:10">
      <c r="A18" s="90" t="s">
        <v>204</v>
      </c>
      <c r="B18" s="147" t="s">
        <v>356</v>
      </c>
      <c r="C18" s="91">
        <v>46127</v>
      </c>
      <c r="D18" s="91">
        <v>46140</v>
      </c>
      <c r="E18" s="190" t="s">
        <v>164</v>
      </c>
      <c r="F18" s="147">
        <v>20</v>
      </c>
      <c r="G18" s="147">
        <v>0</v>
      </c>
      <c r="H18" s="147">
        <v>20</v>
      </c>
      <c r="I18" s="92">
        <f t="shared" si="2"/>
        <v>100</v>
      </c>
      <c r="J18" s="147"/>
    </row>
    <row r="19" spans="1:10">
      <c r="A19" s="201" t="s">
        <v>207</v>
      </c>
      <c r="B19" s="202">
        <v>46141</v>
      </c>
      <c r="C19" s="202">
        <v>46154</v>
      </c>
      <c r="D19" s="201" t="s">
        <v>236</v>
      </c>
      <c r="E19" s="244" t="s">
        <v>35</v>
      </c>
      <c r="F19" s="147">
        <v>14</v>
      </c>
      <c r="G19" s="147">
        <v>3</v>
      </c>
      <c r="H19" s="147">
        <v>11</v>
      </c>
      <c r="I19" s="92">
        <f t="shared" si="2"/>
        <v>78.571428571428569</v>
      </c>
      <c r="J19" s="147" t="s">
        <v>417</v>
      </c>
    </row>
    <row r="20" spans="1:10" ht="38.450000000000003">
      <c r="A20" s="201" t="s">
        <v>207</v>
      </c>
      <c r="B20" s="202">
        <v>46141</v>
      </c>
      <c r="C20" s="202">
        <v>46154</v>
      </c>
      <c r="D20" s="201" t="s">
        <v>239</v>
      </c>
      <c r="E20" s="244" t="s">
        <v>35</v>
      </c>
      <c r="F20" s="147">
        <v>48</v>
      </c>
      <c r="G20" s="147">
        <v>17</v>
      </c>
      <c r="H20" s="147">
        <v>31</v>
      </c>
      <c r="I20" s="92">
        <f t="shared" si="2"/>
        <v>64.583333333333343</v>
      </c>
      <c r="J20" s="147" t="s">
        <v>418</v>
      </c>
    </row>
    <row r="21" spans="1:10">
      <c r="A21" s="201" t="s">
        <v>207</v>
      </c>
      <c r="B21" s="202">
        <v>46141</v>
      </c>
      <c r="C21" s="202">
        <v>46154</v>
      </c>
      <c r="D21" s="201" t="s">
        <v>241</v>
      </c>
      <c r="E21" s="244" t="s">
        <v>35</v>
      </c>
      <c r="F21" s="147">
        <v>15</v>
      </c>
      <c r="G21" s="147">
        <v>2</v>
      </c>
      <c r="H21" s="147">
        <v>13</v>
      </c>
      <c r="I21" s="92">
        <f t="shared" si="2"/>
        <v>86.666666666666671</v>
      </c>
      <c r="J21" s="147" t="s">
        <v>419</v>
      </c>
    </row>
    <row r="22" spans="1:10">
      <c r="A22" s="201" t="s">
        <v>207</v>
      </c>
      <c r="B22" s="202">
        <v>46141</v>
      </c>
      <c r="C22" s="202">
        <v>46154</v>
      </c>
      <c r="D22" s="201" t="s">
        <v>356</v>
      </c>
      <c r="E22" s="244" t="s">
        <v>35</v>
      </c>
      <c r="F22" s="147">
        <v>30</v>
      </c>
      <c r="G22" s="147">
        <v>2</v>
      </c>
      <c r="H22" s="147">
        <v>28</v>
      </c>
      <c r="I22" s="92">
        <f t="shared" ref="I22:I30" si="3">H22/F22*100</f>
        <v>93.333333333333329</v>
      </c>
      <c r="J22" s="147" t="s">
        <v>420</v>
      </c>
    </row>
    <row r="23" spans="1:10">
      <c r="A23" s="204" t="s">
        <v>209</v>
      </c>
      <c r="B23" s="206">
        <v>46155</v>
      </c>
      <c r="C23" s="206">
        <v>46168</v>
      </c>
      <c r="D23" s="244" t="s">
        <v>236</v>
      </c>
      <c r="E23" s="244" t="s">
        <v>35</v>
      </c>
      <c r="F23" s="147">
        <v>28</v>
      </c>
      <c r="G23" s="147">
        <v>3</v>
      </c>
      <c r="H23" s="147">
        <v>25</v>
      </c>
      <c r="I23" s="92">
        <f t="shared" si="3"/>
        <v>89.285714285714292</v>
      </c>
      <c r="J23" s="147" t="s">
        <v>421</v>
      </c>
    </row>
    <row r="24" spans="1:10">
      <c r="A24" s="204" t="s">
        <v>209</v>
      </c>
      <c r="B24" s="206">
        <v>46155</v>
      </c>
      <c r="C24" s="206">
        <v>46168</v>
      </c>
      <c r="D24" s="244" t="s">
        <v>239</v>
      </c>
      <c r="E24" s="244" t="s">
        <v>35</v>
      </c>
      <c r="F24" s="147">
        <v>29</v>
      </c>
      <c r="G24" s="147">
        <v>6</v>
      </c>
      <c r="H24" s="147">
        <v>23</v>
      </c>
      <c r="I24" s="92">
        <f t="shared" si="3"/>
        <v>79.310344827586206</v>
      </c>
      <c r="J24" s="147" t="s">
        <v>422</v>
      </c>
    </row>
    <row r="25" spans="1:10">
      <c r="A25" s="204" t="s">
        <v>209</v>
      </c>
      <c r="B25" s="206">
        <v>46155</v>
      </c>
      <c r="C25" s="206">
        <v>46168</v>
      </c>
      <c r="D25" s="244" t="s">
        <v>241</v>
      </c>
      <c r="E25" s="244" t="s">
        <v>35</v>
      </c>
      <c r="F25" s="147">
        <v>4</v>
      </c>
      <c r="G25" s="147">
        <v>0</v>
      </c>
      <c r="H25" s="147">
        <v>4</v>
      </c>
      <c r="I25" s="92">
        <f t="shared" si="3"/>
        <v>100</v>
      </c>
      <c r="J25" s="147"/>
    </row>
    <row r="26" spans="1:10">
      <c r="A26" s="204" t="s">
        <v>209</v>
      </c>
      <c r="B26" s="206">
        <v>46155</v>
      </c>
      <c r="C26" s="206">
        <v>46168</v>
      </c>
      <c r="D26" s="244" t="s">
        <v>356</v>
      </c>
      <c r="E26" s="244" t="s">
        <v>35</v>
      </c>
      <c r="F26" s="147">
        <v>12</v>
      </c>
      <c r="G26" s="147">
        <v>0</v>
      </c>
      <c r="H26" s="147">
        <v>12</v>
      </c>
      <c r="I26" s="92">
        <f t="shared" si="3"/>
        <v>100</v>
      </c>
      <c r="J26" s="147"/>
    </row>
    <row r="27" spans="1:10" ht="26.1">
      <c r="A27" s="204" t="s">
        <v>211</v>
      </c>
      <c r="B27" s="206">
        <v>46169</v>
      </c>
      <c r="C27" s="206">
        <v>46182</v>
      </c>
      <c r="D27" s="244" t="s">
        <v>236</v>
      </c>
      <c r="E27" s="244" t="s">
        <v>165</v>
      </c>
      <c r="F27" s="147">
        <v>25</v>
      </c>
      <c r="G27" s="147">
        <v>8</v>
      </c>
      <c r="H27" s="147">
        <v>17</v>
      </c>
      <c r="I27" s="92">
        <f t="shared" si="3"/>
        <v>68</v>
      </c>
      <c r="J27" s="147" t="s">
        <v>423</v>
      </c>
    </row>
    <row r="28" spans="1:10" ht="38.450000000000003">
      <c r="A28" s="204" t="s">
        <v>211</v>
      </c>
      <c r="B28" s="206">
        <v>46169</v>
      </c>
      <c r="C28" s="206">
        <v>46182</v>
      </c>
      <c r="D28" s="244" t="s">
        <v>239</v>
      </c>
      <c r="E28" s="244" t="s">
        <v>165</v>
      </c>
      <c r="F28" s="147">
        <v>35</v>
      </c>
      <c r="G28" s="147">
        <v>12</v>
      </c>
      <c r="H28" s="147">
        <v>23</v>
      </c>
      <c r="I28" s="92">
        <f t="shared" si="3"/>
        <v>65.714285714285708</v>
      </c>
      <c r="J28" s="147" t="s">
        <v>424</v>
      </c>
    </row>
    <row r="29" spans="1:10">
      <c r="A29" s="204" t="s">
        <v>211</v>
      </c>
      <c r="B29" s="206">
        <v>46169</v>
      </c>
      <c r="C29" s="206">
        <v>46182</v>
      </c>
      <c r="D29" s="244" t="s">
        <v>241</v>
      </c>
      <c r="E29" s="244" t="s">
        <v>165</v>
      </c>
      <c r="F29" s="147">
        <v>12</v>
      </c>
      <c r="G29" s="147">
        <v>1</v>
      </c>
      <c r="H29" s="147">
        <v>11</v>
      </c>
      <c r="I29" s="92">
        <f t="shared" si="3"/>
        <v>91.666666666666657</v>
      </c>
      <c r="J29" s="147" t="s">
        <v>425</v>
      </c>
    </row>
    <row r="30" spans="1:10">
      <c r="A30" s="204" t="s">
        <v>211</v>
      </c>
      <c r="B30" s="206">
        <v>46169</v>
      </c>
      <c r="C30" s="206">
        <v>46182</v>
      </c>
      <c r="D30" s="244" t="s">
        <v>356</v>
      </c>
      <c r="E30" s="244" t="s">
        <v>165</v>
      </c>
      <c r="F30" s="147">
        <v>30</v>
      </c>
      <c r="G30" s="147">
        <v>0</v>
      </c>
      <c r="H30" s="147">
        <v>30</v>
      </c>
      <c r="I30" s="92">
        <f t="shared" si="3"/>
        <v>100</v>
      </c>
      <c r="J30" s="147"/>
    </row>
    <row r="31" spans="1:10">
      <c r="A31" s="204" t="s">
        <v>213</v>
      </c>
      <c r="B31" s="206">
        <v>46183</v>
      </c>
      <c r="C31" s="206">
        <v>46196</v>
      </c>
      <c r="D31" s="205" t="s">
        <v>236</v>
      </c>
      <c r="E31" s="204" t="s">
        <v>165</v>
      </c>
      <c r="F31" s="147">
        <v>17</v>
      </c>
      <c r="G31" s="147">
        <v>3</v>
      </c>
      <c r="H31" s="147">
        <v>14</v>
      </c>
      <c r="I31" s="92">
        <f>H31/F31*100</f>
        <v>82.35294117647058</v>
      </c>
      <c r="J31" s="147" t="s">
        <v>426</v>
      </c>
    </row>
    <row r="32" spans="1:10">
      <c r="A32" s="204" t="s">
        <v>213</v>
      </c>
      <c r="B32" s="206">
        <v>46183</v>
      </c>
      <c r="C32" s="206">
        <v>46196</v>
      </c>
      <c r="D32" s="204" t="s">
        <v>239</v>
      </c>
      <c r="E32" s="204" t="s">
        <v>165</v>
      </c>
      <c r="F32" s="147">
        <v>16</v>
      </c>
      <c r="G32" s="147">
        <v>5</v>
      </c>
      <c r="H32" s="147">
        <v>11</v>
      </c>
      <c r="I32" s="92">
        <f>H32/F32*100</f>
        <v>68.75</v>
      </c>
      <c r="J32" s="147" t="s">
        <v>427</v>
      </c>
    </row>
    <row r="33" spans="1:10">
      <c r="A33" s="204" t="s">
        <v>213</v>
      </c>
      <c r="B33" s="206">
        <v>46183</v>
      </c>
      <c r="C33" s="206">
        <v>46196</v>
      </c>
      <c r="D33" s="204" t="s">
        <v>241</v>
      </c>
      <c r="E33" s="204" t="s">
        <v>165</v>
      </c>
      <c r="F33" s="147">
        <v>7</v>
      </c>
      <c r="G33" s="147">
        <v>1</v>
      </c>
      <c r="H33" s="147">
        <v>6</v>
      </c>
      <c r="I33" s="92">
        <f>H33/F33*100</f>
        <v>85.714285714285708</v>
      </c>
      <c r="J33" s="147" t="s">
        <v>428</v>
      </c>
    </row>
    <row r="34" spans="1:10">
      <c r="A34" s="204" t="s">
        <v>213</v>
      </c>
      <c r="B34" s="206">
        <v>46183</v>
      </c>
      <c r="C34" s="206">
        <v>46196</v>
      </c>
      <c r="D34" s="204" t="s">
        <v>356</v>
      </c>
      <c r="E34" s="204" t="s">
        <v>165</v>
      </c>
      <c r="F34" s="147">
        <v>20</v>
      </c>
      <c r="G34" s="147">
        <v>0</v>
      </c>
      <c r="H34" s="147">
        <v>20</v>
      </c>
      <c r="I34" s="92">
        <f>H34/F34*100</f>
        <v>100</v>
      </c>
      <c r="J34" s="147"/>
    </row>
  </sheetData>
  <autoFilter ref="A1:J34" xr:uid="{EF7F6E8A-72CD-4E16-8E1F-98E2A642A0A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autoFilter>
  <mergeCells count="1">
    <mergeCell ref="A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
  <sheetViews>
    <sheetView workbookViewId="0">
      <selection activeCell="G3" sqref="G3"/>
    </sheetView>
  </sheetViews>
  <sheetFormatPr defaultRowHeight="14.45"/>
  <cols>
    <col min="3" max="3" width="7.7109375" bestFit="1" customWidth="1"/>
    <col min="5" max="5" width="16.7109375" customWidth="1"/>
    <col min="6" max="6" width="22.140625" customWidth="1"/>
  </cols>
  <sheetData>
    <row r="1" spans="1:9" ht="18">
      <c r="A1" s="249" t="s">
        <v>429</v>
      </c>
      <c r="B1" s="249"/>
      <c r="C1" s="249"/>
      <c r="D1" s="249"/>
      <c r="E1" s="249"/>
      <c r="F1" s="249"/>
      <c r="G1" s="249"/>
      <c r="H1" s="249"/>
      <c r="I1" s="249"/>
    </row>
    <row r="2" spans="1:9" ht="26.1">
      <c r="A2" s="1" t="s">
        <v>227</v>
      </c>
      <c r="B2" s="1" t="s">
        <v>430</v>
      </c>
      <c r="C2" s="1" t="s">
        <v>431</v>
      </c>
      <c r="D2" s="1" t="s">
        <v>432</v>
      </c>
      <c r="E2" s="1" t="s">
        <v>433</v>
      </c>
      <c r="F2" s="1" t="s">
        <v>434</v>
      </c>
      <c r="G2" s="1" t="s">
        <v>435</v>
      </c>
      <c r="H2" s="1" t="s">
        <v>436</v>
      </c>
      <c r="I2" s="1" t="s">
        <v>100</v>
      </c>
    </row>
    <row r="3" spans="1:9">
      <c r="A3" s="12" t="s">
        <v>236</v>
      </c>
      <c r="B3" s="12" t="s">
        <v>437</v>
      </c>
      <c r="C3" s="12" t="s">
        <v>165</v>
      </c>
      <c r="D3" s="12"/>
      <c r="E3" s="38"/>
      <c r="F3" s="38"/>
      <c r="G3" s="12"/>
      <c r="H3" s="8"/>
      <c r="I3" s="8"/>
    </row>
    <row r="4" spans="1:9">
      <c r="A4" s="12"/>
      <c r="B4" s="12"/>
      <c r="C4" s="12"/>
      <c r="D4" s="12"/>
      <c r="E4" s="38"/>
      <c r="F4" s="38"/>
      <c r="G4" s="12"/>
      <c r="H4" s="8"/>
      <c r="I4" s="8"/>
    </row>
    <row r="5" spans="1:9">
      <c r="A5" s="12"/>
      <c r="B5" s="12"/>
      <c r="C5" s="12"/>
      <c r="D5" s="12"/>
      <c r="E5" s="38"/>
      <c r="F5" s="38"/>
      <c r="G5" s="12"/>
      <c r="H5" s="8"/>
      <c r="I5" s="8"/>
    </row>
    <row r="6" spans="1:9">
      <c r="A6" s="12"/>
      <c r="B6" s="12"/>
      <c r="C6" s="12"/>
      <c r="D6" s="12"/>
      <c r="E6" s="38"/>
      <c r="F6" s="38"/>
      <c r="G6" s="12"/>
      <c r="H6" s="8"/>
      <c r="I6" s="8"/>
    </row>
    <row r="7" spans="1:9">
      <c r="A7" s="12"/>
      <c r="B7" s="12"/>
      <c r="C7" s="12"/>
      <c r="D7" s="12"/>
      <c r="E7" s="38"/>
      <c r="F7" s="38"/>
      <c r="G7" s="12"/>
      <c r="H7" s="8"/>
      <c r="I7" s="8"/>
    </row>
    <row r="8" spans="1:9">
      <c r="A8" s="12"/>
      <c r="B8" s="12"/>
      <c r="C8" s="12"/>
      <c r="D8" s="12"/>
      <c r="E8" s="38"/>
      <c r="F8" s="38"/>
      <c r="G8" s="12"/>
      <c r="H8" s="8"/>
      <c r="I8" s="8"/>
    </row>
    <row r="9" spans="1:9">
      <c r="A9" s="12"/>
      <c r="B9" s="12"/>
      <c r="C9" s="12"/>
      <c r="D9" s="12"/>
      <c r="E9" s="38"/>
      <c r="F9" s="38"/>
      <c r="G9" s="12"/>
      <c r="H9" s="8"/>
      <c r="I9" s="8"/>
    </row>
    <row r="10" spans="1:9">
      <c r="A10" s="12"/>
      <c r="B10" s="12"/>
      <c r="C10" s="12"/>
      <c r="D10" s="12"/>
      <c r="E10" s="38"/>
      <c r="F10" s="38"/>
      <c r="G10" s="12"/>
      <c r="H10" s="8"/>
      <c r="I10" s="8"/>
    </row>
    <row r="11" spans="1:9">
      <c r="A11" s="12"/>
      <c r="B11" s="12"/>
      <c r="C11" s="12"/>
      <c r="D11" s="12"/>
      <c r="E11" s="38"/>
      <c r="F11" s="38"/>
      <c r="G11" s="12"/>
      <c r="H11" s="8"/>
      <c r="I11" s="8"/>
    </row>
    <row r="12" spans="1:9">
      <c r="A12" s="12"/>
      <c r="B12" s="12"/>
      <c r="C12" s="12"/>
      <c r="D12" s="12"/>
      <c r="E12" s="38"/>
      <c r="F12" s="38"/>
      <c r="G12" s="12"/>
      <c r="H12" s="8"/>
      <c r="I12" s="8"/>
    </row>
    <row r="13" spans="1:9">
      <c r="A13" s="12"/>
      <c r="B13" s="12"/>
      <c r="C13" s="12"/>
      <c r="D13" s="12"/>
      <c r="E13" s="38"/>
      <c r="F13" s="38"/>
      <c r="G13" s="12"/>
      <c r="H13" s="8"/>
      <c r="I13" s="8"/>
    </row>
    <row r="14" spans="1:9">
      <c r="A14" s="12"/>
      <c r="B14" s="12"/>
      <c r="C14" s="12"/>
      <c r="D14" s="12"/>
      <c r="E14" s="38"/>
      <c r="F14" s="38"/>
      <c r="G14" s="12"/>
      <c r="H14" s="8"/>
      <c r="I14" s="8"/>
    </row>
    <row r="15" spans="1:9">
      <c r="A15" s="12"/>
      <c r="B15" s="12"/>
      <c r="C15" s="12"/>
      <c r="D15" s="12"/>
      <c r="E15" s="38"/>
      <c r="F15" s="38"/>
      <c r="G15" s="12"/>
      <c r="H15" s="8"/>
      <c r="I15" s="8"/>
    </row>
  </sheetData>
  <mergeCells count="1">
    <mergeCell ref="A1:I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
  <sheetViews>
    <sheetView workbookViewId="0">
      <selection activeCell="B7" sqref="B7"/>
    </sheetView>
  </sheetViews>
  <sheetFormatPr defaultRowHeight="14.45"/>
  <cols>
    <col min="2" max="2" width="149.140625" bestFit="1" customWidth="1"/>
  </cols>
  <sheetData>
    <row r="2" spans="2:2">
      <c r="B2" t="s">
        <v>438</v>
      </c>
    </row>
    <row r="3" spans="2:2" ht="29.1">
      <c r="B3" s="40" t="s">
        <v>439</v>
      </c>
    </row>
    <row r="4" spans="2:2" ht="72.599999999999994">
      <c r="B4" s="40" t="s">
        <v>440</v>
      </c>
    </row>
    <row r="5" spans="2:2" ht="130.5">
      <c r="B5" s="40" t="s">
        <v>441</v>
      </c>
    </row>
    <row r="7" spans="2:2" ht="116.1">
      <c r="B7" s="41" t="s">
        <v>442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6"/>
  <sheetViews>
    <sheetView workbookViewId="0">
      <selection activeCell="A9" sqref="A9"/>
    </sheetView>
  </sheetViews>
  <sheetFormatPr defaultRowHeight="14.45"/>
  <cols>
    <col min="1" max="1" width="17.7109375" bestFit="1" customWidth="1"/>
    <col min="2" max="2" width="70" bestFit="1" customWidth="1"/>
  </cols>
  <sheetData>
    <row r="2" spans="1:2">
      <c r="A2" t="s">
        <v>443</v>
      </c>
      <c r="B2" t="s">
        <v>444</v>
      </c>
    </row>
    <row r="3" spans="1:2">
      <c r="A3" t="s">
        <v>445</v>
      </c>
      <c r="B3" t="s">
        <v>446</v>
      </c>
    </row>
    <row r="4" spans="1:2">
      <c r="A4" t="s">
        <v>447</v>
      </c>
      <c r="B4" t="s">
        <v>448</v>
      </c>
    </row>
    <row r="5" spans="1:2">
      <c r="A5" t="s">
        <v>449</v>
      </c>
      <c r="B5" t="s">
        <v>450</v>
      </c>
    </row>
    <row r="6" spans="1:2">
      <c r="A6" t="s">
        <v>85</v>
      </c>
      <c r="B6" t="s">
        <v>451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7"/>
  <sheetViews>
    <sheetView workbookViewId="0">
      <selection activeCell="R17" sqref="R17"/>
    </sheetView>
  </sheetViews>
  <sheetFormatPr defaultRowHeight="14.45"/>
  <cols>
    <col min="1" max="1" width="15.140625" bestFit="1" customWidth="1"/>
  </cols>
  <sheetData>
    <row r="1" spans="1:1">
      <c r="A1" t="s">
        <v>452</v>
      </c>
    </row>
    <row r="3" spans="1:1">
      <c r="A3" t="s">
        <v>453</v>
      </c>
    </row>
    <row r="4" spans="1:1">
      <c r="A4" t="s">
        <v>454</v>
      </c>
    </row>
    <row r="5" spans="1:1">
      <c r="A5" t="s">
        <v>455</v>
      </c>
    </row>
    <row r="6" spans="1:1">
      <c r="A6" t="s">
        <v>456</v>
      </c>
    </row>
    <row r="7" spans="1:1">
      <c r="A7" t="s">
        <v>457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35A4-12D4-43C7-A091-BB60FC4A218A}">
  <dimension ref="A1:G34"/>
  <sheetViews>
    <sheetView workbookViewId="0">
      <selection activeCell="F10" sqref="F10:G10"/>
    </sheetView>
  </sheetViews>
  <sheetFormatPr defaultRowHeight="14.45"/>
  <cols>
    <col min="2" max="2" width="13.28515625" bestFit="1" customWidth="1"/>
    <col min="3" max="4" width="122.5703125" style="40" customWidth="1"/>
    <col min="5" max="5" width="30.140625" bestFit="1" customWidth="1"/>
    <col min="6" max="6" width="8.7109375" style="152"/>
    <col min="7" max="7" width="10.7109375" bestFit="1" customWidth="1"/>
  </cols>
  <sheetData>
    <row r="1" spans="1:7" ht="15.6">
      <c r="A1" s="148" t="s">
        <v>458</v>
      </c>
      <c r="B1" s="149" t="s">
        <v>453</v>
      </c>
      <c r="C1" s="150" t="s">
        <v>459</v>
      </c>
      <c r="D1" s="150" t="s">
        <v>460</v>
      </c>
      <c r="E1" s="149" t="s">
        <v>461</v>
      </c>
      <c r="F1" s="153" t="s">
        <v>462</v>
      </c>
      <c r="G1" s="151" t="s">
        <v>69</v>
      </c>
    </row>
    <row r="2" spans="1:7">
      <c r="A2" s="138">
        <v>46176</v>
      </c>
      <c r="B2" s="103" t="s">
        <v>463</v>
      </c>
      <c r="C2" s="103" t="s">
        <v>464</v>
      </c>
      <c r="D2" s="103" t="s">
        <v>465</v>
      </c>
      <c r="E2" s="103"/>
      <c r="F2" s="154"/>
      <c r="G2" s="103"/>
    </row>
    <row r="3" spans="1:7">
      <c r="A3" s="138">
        <v>46154</v>
      </c>
      <c r="B3" s="103" t="s">
        <v>463</v>
      </c>
      <c r="C3" s="103" t="s">
        <v>466</v>
      </c>
      <c r="D3" s="103" t="s">
        <v>467</v>
      </c>
      <c r="E3" s="103" t="s">
        <v>468</v>
      </c>
      <c r="F3" s="154">
        <v>46161</v>
      </c>
      <c r="G3" s="103" t="s">
        <v>469</v>
      </c>
    </row>
    <row r="4" spans="1:7">
      <c r="A4" s="138">
        <v>46147</v>
      </c>
      <c r="B4" s="103" t="s">
        <v>463</v>
      </c>
      <c r="C4" s="103" t="s">
        <v>470</v>
      </c>
      <c r="D4" s="103" t="s">
        <v>471</v>
      </c>
      <c r="E4" s="103" t="s">
        <v>472</v>
      </c>
      <c r="F4" s="154">
        <v>46154</v>
      </c>
      <c r="G4" s="103" t="s">
        <v>469</v>
      </c>
    </row>
    <row r="5" spans="1:7" s="101" customFormat="1" ht="69" customHeight="1">
      <c r="A5" s="138">
        <v>46147</v>
      </c>
      <c r="B5" s="103" t="s">
        <v>463</v>
      </c>
      <c r="C5" s="103" t="s">
        <v>473</v>
      </c>
      <c r="D5" s="103" t="s">
        <v>474</v>
      </c>
      <c r="E5" s="103" t="s">
        <v>475</v>
      </c>
      <c r="F5" s="154">
        <v>46154</v>
      </c>
      <c r="G5" s="103" t="s">
        <v>469</v>
      </c>
    </row>
    <row r="6" spans="1:7" s="101" customFormat="1" ht="24.75" customHeight="1">
      <c r="A6" s="138">
        <v>46150</v>
      </c>
      <c r="B6" s="103" t="s">
        <v>463</v>
      </c>
      <c r="C6" s="102" t="s">
        <v>476</v>
      </c>
      <c r="D6" s="103" t="s">
        <v>477</v>
      </c>
      <c r="E6" s="103" t="s">
        <v>478</v>
      </c>
      <c r="F6" s="154">
        <v>46203</v>
      </c>
      <c r="G6" s="103" t="s">
        <v>479</v>
      </c>
    </row>
    <row r="7" spans="1:7" s="97" customFormat="1">
      <c r="A7" s="138">
        <v>46147</v>
      </c>
      <c r="B7" s="103" t="s">
        <v>463</v>
      </c>
      <c r="C7" s="102" t="s">
        <v>480</v>
      </c>
      <c r="D7" s="103"/>
      <c r="E7" s="103" t="s">
        <v>468</v>
      </c>
      <c r="F7" s="155" t="s">
        <v>481</v>
      </c>
      <c r="G7" s="103" t="s">
        <v>479</v>
      </c>
    </row>
    <row r="8" spans="1:7" s="199" customFormat="1" ht="29.1">
      <c r="A8" s="195">
        <v>46192</v>
      </c>
      <c r="B8" s="196" t="s">
        <v>482</v>
      </c>
      <c r="C8" s="197" t="s">
        <v>483</v>
      </c>
      <c r="D8" s="196" t="s">
        <v>484</v>
      </c>
      <c r="E8" s="196" t="s">
        <v>485</v>
      </c>
      <c r="F8" s="200">
        <v>46206</v>
      </c>
      <c r="G8" s="198" t="s">
        <v>479</v>
      </c>
    </row>
    <row r="9" spans="1:7" s="199" customFormat="1">
      <c r="A9" s="195">
        <v>46191</v>
      </c>
      <c r="B9" s="196" t="s">
        <v>482</v>
      </c>
      <c r="C9" s="197" t="s">
        <v>486</v>
      </c>
      <c r="D9" s="196" t="s">
        <v>487</v>
      </c>
      <c r="E9" s="196" t="s">
        <v>488</v>
      </c>
      <c r="F9" s="200">
        <v>46199</v>
      </c>
      <c r="G9" s="198" t="s">
        <v>469</v>
      </c>
    </row>
    <row r="10" spans="1:7" s="199" customFormat="1">
      <c r="A10" s="195">
        <v>46195</v>
      </c>
      <c r="B10" s="196" t="s">
        <v>482</v>
      </c>
      <c r="C10" s="197" t="s">
        <v>489</v>
      </c>
      <c r="D10" s="196" t="s">
        <v>490</v>
      </c>
      <c r="E10" s="196" t="s">
        <v>488</v>
      </c>
      <c r="F10" s="200">
        <v>46199</v>
      </c>
      <c r="G10" s="198" t="s">
        <v>469</v>
      </c>
    </row>
    <row r="11" spans="1:7" s="97" customFormat="1" ht="29.1">
      <c r="A11" s="136">
        <v>46176</v>
      </c>
      <c r="B11" s="99" t="s">
        <v>482</v>
      </c>
      <c r="C11" s="100" t="s">
        <v>491</v>
      </c>
      <c r="D11" s="100" t="s">
        <v>492</v>
      </c>
      <c r="E11" s="100" t="s">
        <v>493</v>
      </c>
      <c r="F11" s="98">
        <v>46178</v>
      </c>
      <c r="G11" s="140" t="s">
        <v>469</v>
      </c>
    </row>
    <row r="12" spans="1:7" s="101" customFormat="1" ht="43.5">
      <c r="A12" s="136">
        <v>46120</v>
      </c>
      <c r="B12" s="99" t="s">
        <v>482</v>
      </c>
      <c r="C12" s="100" t="s">
        <v>494</v>
      </c>
      <c r="D12" s="100" t="s">
        <v>495</v>
      </c>
      <c r="E12" s="99" t="s">
        <v>496</v>
      </c>
      <c r="F12" s="98">
        <v>46164</v>
      </c>
      <c r="G12" s="140" t="s">
        <v>497</v>
      </c>
    </row>
    <row r="13" spans="1:7" ht="43.5">
      <c r="A13" s="136">
        <v>46106</v>
      </c>
      <c r="B13" s="99" t="s">
        <v>482</v>
      </c>
      <c r="C13" s="125" t="s">
        <v>498</v>
      </c>
      <c r="D13" s="100" t="s">
        <v>499</v>
      </c>
      <c r="E13" s="99" t="s">
        <v>500</v>
      </c>
      <c r="F13" s="98">
        <v>46106</v>
      </c>
      <c r="G13" s="140" t="s">
        <v>501</v>
      </c>
    </row>
    <row r="14" spans="1:7" ht="29.1">
      <c r="A14" s="136">
        <v>46106</v>
      </c>
      <c r="B14" s="99" t="s">
        <v>482</v>
      </c>
      <c r="C14" s="100" t="s">
        <v>502</v>
      </c>
      <c r="D14" s="100" t="s">
        <v>503</v>
      </c>
      <c r="E14" s="99" t="s">
        <v>504</v>
      </c>
      <c r="F14" s="98">
        <v>46115</v>
      </c>
      <c r="G14" s="140" t="s">
        <v>501</v>
      </c>
    </row>
    <row r="15" spans="1:7" s="101" customFormat="1" ht="29.1">
      <c r="A15" s="136">
        <v>46106</v>
      </c>
      <c r="B15" s="99" t="s">
        <v>482</v>
      </c>
      <c r="C15" s="100" t="s">
        <v>505</v>
      </c>
      <c r="D15" s="100" t="s">
        <v>506</v>
      </c>
      <c r="E15" s="99" t="s">
        <v>488</v>
      </c>
      <c r="F15" s="99"/>
      <c r="G15" s="140" t="s">
        <v>501</v>
      </c>
    </row>
    <row r="16" spans="1:7">
      <c r="A16" s="136">
        <v>46106</v>
      </c>
      <c r="B16" s="99" t="s">
        <v>482</v>
      </c>
      <c r="C16" s="100" t="s">
        <v>507</v>
      </c>
      <c r="D16" s="100" t="s">
        <v>508</v>
      </c>
      <c r="E16" s="99" t="s">
        <v>488</v>
      </c>
      <c r="F16" s="98">
        <v>46106</v>
      </c>
      <c r="G16" s="140" t="s">
        <v>501</v>
      </c>
    </row>
    <row r="17" spans="1:7">
      <c r="A17" s="137">
        <v>46176</v>
      </c>
      <c r="B17" s="137" t="s">
        <v>509</v>
      </c>
      <c r="C17" s="160" t="s">
        <v>510</v>
      </c>
      <c r="D17" s="161" t="s">
        <v>511</v>
      </c>
      <c r="E17" s="137" t="s">
        <v>512</v>
      </c>
      <c r="F17" s="137">
        <v>46188</v>
      </c>
      <c r="G17" s="137" t="s">
        <v>497</v>
      </c>
    </row>
    <row r="18" spans="1:7" ht="57.95">
      <c r="A18" s="137">
        <v>46161</v>
      </c>
      <c r="B18" s="137" t="s">
        <v>509</v>
      </c>
      <c r="C18" s="160" t="s">
        <v>513</v>
      </c>
      <c r="D18" s="161" t="s">
        <v>514</v>
      </c>
      <c r="E18" s="137" t="s">
        <v>515</v>
      </c>
      <c r="F18" s="137" t="s">
        <v>516</v>
      </c>
      <c r="G18" s="137" t="s">
        <v>479</v>
      </c>
    </row>
    <row r="19" spans="1:7" ht="43.5">
      <c r="A19" s="137">
        <v>46161</v>
      </c>
      <c r="B19" s="137" t="s">
        <v>509</v>
      </c>
      <c r="C19" s="160" t="s">
        <v>517</v>
      </c>
      <c r="D19" s="137" t="s">
        <v>518</v>
      </c>
      <c r="E19" s="137" t="s">
        <v>519</v>
      </c>
      <c r="F19" s="137" t="s">
        <v>516</v>
      </c>
      <c r="G19" s="137" t="s">
        <v>479</v>
      </c>
    </row>
    <row r="20" spans="1:7" s="97" customFormat="1">
      <c r="A20" s="137">
        <v>46120</v>
      </c>
      <c r="B20" s="95" t="s">
        <v>509</v>
      </c>
      <c r="C20" s="96" t="s">
        <v>520</v>
      </c>
      <c r="D20" s="96" t="s">
        <v>521</v>
      </c>
      <c r="E20" s="95" t="s">
        <v>522</v>
      </c>
      <c r="F20" s="94">
        <v>46126</v>
      </c>
      <c r="G20" s="141" t="s">
        <v>501</v>
      </c>
    </row>
    <row r="21" spans="1:7">
      <c r="A21" s="137">
        <v>46106</v>
      </c>
      <c r="B21" s="95" t="s">
        <v>509</v>
      </c>
      <c r="C21" s="96" t="s">
        <v>523</v>
      </c>
      <c r="D21" s="96" t="s">
        <v>524</v>
      </c>
      <c r="E21" s="95" t="s">
        <v>485</v>
      </c>
      <c r="F21" s="94">
        <v>46113</v>
      </c>
      <c r="G21" s="141" t="s">
        <v>501</v>
      </c>
    </row>
    <row r="22" spans="1:7" s="97" customFormat="1" ht="29.1">
      <c r="A22" s="137">
        <v>46106</v>
      </c>
      <c r="B22" s="95" t="s">
        <v>509</v>
      </c>
      <c r="C22" s="96" t="s">
        <v>525</v>
      </c>
      <c r="D22" s="96" t="s">
        <v>526</v>
      </c>
      <c r="E22" s="95" t="s">
        <v>527</v>
      </c>
      <c r="F22" s="95"/>
      <c r="G22" s="141" t="s">
        <v>501</v>
      </c>
    </row>
    <row r="23" spans="1:7">
      <c r="A23" s="137">
        <v>46106</v>
      </c>
      <c r="B23" s="95" t="s">
        <v>509</v>
      </c>
      <c r="C23" s="96" t="s">
        <v>528</v>
      </c>
      <c r="D23" s="96" t="s">
        <v>529</v>
      </c>
      <c r="E23" s="95" t="s">
        <v>530</v>
      </c>
      <c r="F23" s="95"/>
      <c r="G23" s="141" t="s">
        <v>501</v>
      </c>
    </row>
    <row r="24" spans="1:7" s="104" customFormat="1">
      <c r="A24" s="138">
        <v>46120</v>
      </c>
      <c r="B24" s="102" t="s">
        <v>463</v>
      </c>
      <c r="C24" s="103" t="s">
        <v>531</v>
      </c>
      <c r="D24" s="103" t="s">
        <v>532</v>
      </c>
      <c r="E24" s="102" t="s">
        <v>533</v>
      </c>
      <c r="F24" s="156">
        <v>46157</v>
      </c>
      <c r="G24" s="142" t="s">
        <v>479</v>
      </c>
    </row>
    <row r="25" spans="1:7" s="104" customFormat="1">
      <c r="A25" s="138">
        <v>46120</v>
      </c>
      <c r="B25" s="102" t="s">
        <v>463</v>
      </c>
      <c r="C25" s="103" t="s">
        <v>534</v>
      </c>
      <c r="D25" s="103"/>
      <c r="E25" s="102" t="s">
        <v>535</v>
      </c>
      <c r="F25" s="157" t="s">
        <v>481</v>
      </c>
      <c r="G25" s="142" t="s">
        <v>479</v>
      </c>
    </row>
    <row r="26" spans="1:7" s="104" customFormat="1">
      <c r="A26" s="138">
        <v>46120</v>
      </c>
      <c r="B26" s="102" t="s">
        <v>463</v>
      </c>
      <c r="C26" s="103" t="s">
        <v>536</v>
      </c>
      <c r="D26" s="103" t="s">
        <v>537</v>
      </c>
      <c r="E26" s="102" t="s">
        <v>538</v>
      </c>
      <c r="F26" s="156">
        <v>46126</v>
      </c>
      <c r="G26" s="142" t="s">
        <v>469</v>
      </c>
    </row>
    <row r="27" spans="1:7">
      <c r="A27" s="138">
        <v>46106</v>
      </c>
      <c r="B27" s="102" t="s">
        <v>463</v>
      </c>
      <c r="C27" s="103" t="s">
        <v>539</v>
      </c>
      <c r="D27" s="103"/>
      <c r="E27" s="102" t="s">
        <v>540</v>
      </c>
      <c r="F27" s="157"/>
      <c r="G27" s="142" t="s">
        <v>469</v>
      </c>
    </row>
    <row r="28" spans="1:7" ht="20.45" customHeight="1">
      <c r="A28" s="138">
        <v>46106</v>
      </c>
      <c r="B28" s="102" t="s">
        <v>463</v>
      </c>
      <c r="C28" s="103" t="s">
        <v>541</v>
      </c>
      <c r="D28" s="103"/>
      <c r="E28" s="102" t="s">
        <v>542</v>
      </c>
      <c r="F28" s="157"/>
      <c r="G28" s="142" t="s">
        <v>469</v>
      </c>
    </row>
    <row r="29" spans="1:7">
      <c r="A29" s="138">
        <v>46106</v>
      </c>
      <c r="B29" s="102" t="s">
        <v>463</v>
      </c>
      <c r="C29" s="103" t="s">
        <v>543</v>
      </c>
      <c r="D29" s="103" t="s">
        <v>544</v>
      </c>
      <c r="E29" s="102" t="s">
        <v>545</v>
      </c>
      <c r="F29" s="156">
        <v>46108</v>
      </c>
      <c r="G29" s="142" t="s">
        <v>469</v>
      </c>
    </row>
    <row r="30" spans="1:7" s="104" customFormat="1">
      <c r="A30" s="138">
        <v>46120</v>
      </c>
      <c r="B30" s="102" t="s">
        <v>463</v>
      </c>
      <c r="C30" s="103" t="s">
        <v>546</v>
      </c>
      <c r="D30" s="103" t="s">
        <v>547</v>
      </c>
      <c r="E30" s="102" t="s">
        <v>548</v>
      </c>
      <c r="F30" s="156">
        <v>46122</v>
      </c>
      <c r="G30" s="142" t="s">
        <v>469</v>
      </c>
    </row>
    <row r="31" spans="1:7">
      <c r="A31" s="138">
        <v>46106</v>
      </c>
      <c r="B31" s="102" t="s">
        <v>463</v>
      </c>
      <c r="C31" s="103" t="s">
        <v>549</v>
      </c>
      <c r="D31" s="103" t="s">
        <v>550</v>
      </c>
      <c r="E31" s="102" t="s">
        <v>551</v>
      </c>
      <c r="F31" s="157"/>
      <c r="G31" s="142" t="s">
        <v>479</v>
      </c>
    </row>
    <row r="32" spans="1:7" s="101" customFormat="1">
      <c r="A32" s="136">
        <v>46106</v>
      </c>
      <c r="B32" s="99" t="s">
        <v>482</v>
      </c>
      <c r="C32" s="100" t="s">
        <v>552</v>
      </c>
      <c r="D32" s="100"/>
      <c r="E32" s="99" t="s">
        <v>553</v>
      </c>
      <c r="F32" s="99"/>
      <c r="G32" s="140" t="s">
        <v>516</v>
      </c>
    </row>
    <row r="33" spans="1:7" ht="20.45" customHeight="1">
      <c r="A33" s="139">
        <v>46106</v>
      </c>
      <c r="B33" s="61" t="s">
        <v>463</v>
      </c>
      <c r="C33" s="62" t="s">
        <v>554</v>
      </c>
      <c r="D33" s="62"/>
      <c r="E33" s="61" t="s">
        <v>555</v>
      </c>
      <c r="F33" s="158"/>
      <c r="G33" s="143" t="s">
        <v>469</v>
      </c>
    </row>
    <row r="34" spans="1:7" ht="24" customHeight="1">
      <c r="A34" s="144">
        <v>46106</v>
      </c>
      <c r="B34" s="120" t="s">
        <v>463</v>
      </c>
      <c r="C34" s="145" t="s">
        <v>556</v>
      </c>
      <c r="D34" s="145"/>
      <c r="E34" s="120" t="s">
        <v>557</v>
      </c>
      <c r="F34" s="159"/>
      <c r="G34" s="146" t="s">
        <v>469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F50A-8990-4206-A637-895C2F6F5665}">
  <dimension ref="A1:H6"/>
  <sheetViews>
    <sheetView workbookViewId="0">
      <selection activeCell="A6" sqref="A6"/>
    </sheetView>
  </sheetViews>
  <sheetFormatPr defaultRowHeight="14.45"/>
  <cols>
    <col min="2" max="2" width="11" bestFit="1" customWidth="1"/>
    <col min="3" max="5" width="11" customWidth="1"/>
    <col min="6" max="6" width="61.28515625" bestFit="1" customWidth="1"/>
    <col min="7" max="7" width="88.140625" bestFit="1" customWidth="1"/>
    <col min="8" max="8" width="64.42578125" style="40" customWidth="1"/>
  </cols>
  <sheetData>
    <row r="1" spans="1:8">
      <c r="A1" s="115" t="s">
        <v>431</v>
      </c>
      <c r="B1" s="116" t="s">
        <v>558</v>
      </c>
      <c r="C1" s="116" t="s">
        <v>559</v>
      </c>
      <c r="D1" s="116" t="s">
        <v>560</v>
      </c>
      <c r="E1" s="116" t="s">
        <v>561</v>
      </c>
      <c r="F1" s="116" t="s">
        <v>562</v>
      </c>
      <c r="G1" s="116" t="s">
        <v>563</v>
      </c>
      <c r="H1" s="117" t="s">
        <v>564</v>
      </c>
    </row>
    <row r="2" spans="1:8" ht="43.5">
      <c r="A2" t="s">
        <v>565</v>
      </c>
      <c r="B2" s="61" t="s">
        <v>566</v>
      </c>
      <c r="C2" s="61" t="s">
        <v>567</v>
      </c>
      <c r="D2" s="61" t="s">
        <v>568</v>
      </c>
      <c r="E2" s="61" t="s">
        <v>569</v>
      </c>
      <c r="F2" s="61" t="s">
        <v>570</v>
      </c>
      <c r="G2" s="93" t="s">
        <v>571</v>
      </c>
      <c r="H2" s="62" t="s">
        <v>572</v>
      </c>
    </row>
    <row r="3" spans="1:8">
      <c r="A3" t="s">
        <v>565</v>
      </c>
      <c r="B3" s="61" t="s">
        <v>573</v>
      </c>
      <c r="C3" s="61" t="s">
        <v>567</v>
      </c>
      <c r="D3" s="61" t="s">
        <v>567</v>
      </c>
      <c r="E3" s="61" t="s">
        <v>574</v>
      </c>
      <c r="F3" s="61" t="s">
        <v>575</v>
      </c>
      <c r="G3" s="61" t="s">
        <v>576</v>
      </c>
      <c r="H3" s="62" t="s">
        <v>577</v>
      </c>
    </row>
    <row r="4" spans="1:8">
      <c r="A4" t="s">
        <v>565</v>
      </c>
      <c r="B4" s="61" t="s">
        <v>578</v>
      </c>
      <c r="C4" s="61" t="s">
        <v>568</v>
      </c>
      <c r="D4" s="61" t="s">
        <v>567</v>
      </c>
      <c r="E4" s="61" t="s">
        <v>569</v>
      </c>
      <c r="F4" s="61" t="s">
        <v>579</v>
      </c>
      <c r="G4" s="61" t="s">
        <v>580</v>
      </c>
      <c r="H4" s="62" t="s">
        <v>516</v>
      </c>
    </row>
    <row r="6" spans="1:8">
      <c r="A6" t="s">
        <v>581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00cfa6-700d-4e46-926e-fb00e9f73e4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40C35911C70094D8A91F317C8814B10" ma:contentTypeVersion="13" ma:contentTypeDescription="Create a new document." ma:contentTypeScope="" ma:versionID="3c846c10bca37a1f207db31d1968fdd8">
  <xsd:schema xmlns:xsd="http://www.w3.org/2001/XMLSchema" xmlns:xs="http://www.w3.org/2001/XMLSchema" xmlns:p="http://schemas.microsoft.com/office/2006/metadata/properties" xmlns:ns2="9d00cfa6-700d-4e46-926e-fb00e9f73e47" xmlns:ns3="227987ac-c36f-4831-bc8b-598d95484750" targetNamespace="http://schemas.microsoft.com/office/2006/metadata/properties" ma:root="true" ma:fieldsID="643ed30357b4a94eb2bbea956c746a74" ns2:_="" ns3:_="">
    <xsd:import namespace="9d00cfa6-700d-4e46-926e-fb00e9f73e47"/>
    <xsd:import namespace="227987ac-c36f-4831-bc8b-598d9548475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LengthInSeconds" minOccurs="0"/>
                <xsd:element ref="ns2:MediaServiceGenerationTime" minOccurs="0"/>
                <xsd:element ref="ns2:MediaServiceEventHashCode" minOccurs="0"/>
                <xsd:element ref="ns2:MediaServiceSearchProperties" minOccurs="0"/>
                <xsd:element ref="ns2:MediaServiceDateTaken"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00cfa6-700d-4e46-926e-fb00e9f73e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1087d73-5bfe-4c6e-a130-3d602495565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7987ac-c36f-4831-bc8b-598d9548475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F939DE-3755-413C-8E66-E2796510C0FA}"/>
</file>

<file path=customXml/itemProps2.xml><?xml version="1.0" encoding="utf-8"?>
<ds:datastoreItem xmlns:ds="http://schemas.openxmlformats.org/officeDocument/2006/customXml" ds:itemID="{EE16EAB6-8066-4E3F-830C-46E80749C379}"/>
</file>

<file path=customXml/itemProps3.xml><?xml version="1.0" encoding="utf-8"?>
<ds:datastoreItem xmlns:ds="http://schemas.openxmlformats.org/officeDocument/2006/customXml" ds:itemID="{4FBEBA7D-9B99-4AFB-9510-749EC51252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Priyank Singhvi</cp:lastModifiedBy>
  <cp:revision>0</cp:revision>
  <dcterms:created xsi:type="dcterms:W3CDTF">2026-03-13T03:43:07Z</dcterms:created>
  <dcterms:modified xsi:type="dcterms:W3CDTF">2026-07-15T17:48:41Z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0x010100040C35911C70094D8A91F317C8814B10</vt:lpwstr>
  </property>
  <property fmtid="{D5CDD505-2E9C-101B-9397-08002B2CF9AE}" pid="3" name="MediaServiceImageTags">
    <vt:lpwstr/>
  </property>
</Properties>
</file>